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esktop\"/>
    </mc:Choice>
  </mc:AlternateContent>
  <bookViews>
    <workbookView xWindow="0" yWindow="0" windowWidth="28770" windowHeight="10455"/>
  </bookViews>
  <sheets>
    <sheet name="명세서_철거" sheetId="2" r:id="rId1"/>
    <sheet name="증빙_철거" sheetId="3" r:id="rId2"/>
  </sheets>
  <definedNames>
    <definedName name="_" hidden="1">#REF!</definedName>
    <definedName name="__" hidden="1">#REF!</definedName>
    <definedName name="___" hidden="1">#REF!</definedName>
    <definedName name="____" hidden="1">#REF!</definedName>
    <definedName name="_____" hidden="1">#REF!</definedName>
    <definedName name="____________________TT1" hidden="1">{#N/A,#N/A,FALSE,"현장 NCR 분석";#N/A,#N/A,FALSE,"현장품질감사";#N/A,#N/A,FALSE,"현장품질감사"}</definedName>
    <definedName name="____________________TT3" hidden="1">{#N/A,#N/A,FALSE,"현장 NCR 분석";#N/A,#N/A,FALSE,"현장품질감사";#N/A,#N/A,FALSE,"현장품질감사"}</definedName>
    <definedName name="__________________TT1" hidden="1">{#N/A,#N/A,FALSE,"현장 NCR 분석";#N/A,#N/A,FALSE,"현장품질감사";#N/A,#N/A,FALSE,"현장품질감사"}</definedName>
    <definedName name="__________________TT3" hidden="1">{#N/A,#N/A,FALSE,"현장 NCR 분석";#N/A,#N/A,FALSE,"현장품질감사";#N/A,#N/A,FALSE,"현장품질감사"}</definedName>
    <definedName name="________________TT1" hidden="1">{#N/A,#N/A,FALSE,"현장 NCR 분석";#N/A,#N/A,FALSE,"현장품질감사";#N/A,#N/A,FALSE,"현장품질감사"}</definedName>
    <definedName name="________________TT3" hidden="1">{#N/A,#N/A,FALSE,"현장 NCR 분석";#N/A,#N/A,FALSE,"현장품질감사";#N/A,#N/A,FALSE,"현장품질감사"}</definedName>
    <definedName name="_______________SUM1" hidden="1">{#N/A,#N/A,FALSE,"단축1";#N/A,#N/A,FALSE,"단축2";#N/A,#N/A,FALSE,"단축3";#N/A,#N/A,FALSE,"장축";#N/A,#N/A,FALSE,"4WD"}</definedName>
    <definedName name="______________A3" hidden="1">{#N/A,#N/A,FALSE,"단축1";#N/A,#N/A,FALSE,"단축2";#N/A,#N/A,FALSE,"단축3";#N/A,#N/A,FALSE,"장축";#N/A,#N/A,FALSE,"4WD"}</definedName>
    <definedName name="______________SUM1" hidden="1">{#N/A,#N/A,FALSE,"단축1";#N/A,#N/A,FALSE,"단축2";#N/A,#N/A,FALSE,"단축3";#N/A,#N/A,FALSE,"장축";#N/A,#N/A,FALSE,"4WD"}</definedName>
    <definedName name="______________TT1" hidden="1">{#N/A,#N/A,FALSE,"현장 NCR 분석";#N/A,#N/A,FALSE,"현장품질감사";#N/A,#N/A,FALSE,"현장품질감사"}</definedName>
    <definedName name="______________TT3" hidden="1">{#N/A,#N/A,FALSE,"현장 NCR 분석";#N/A,#N/A,FALSE,"현장품질감사";#N/A,#N/A,FALSE,"현장품질감사"}</definedName>
    <definedName name="_____________A3" hidden="1">{#N/A,#N/A,FALSE,"단축1";#N/A,#N/A,FALSE,"단축2";#N/A,#N/A,FALSE,"단축3";#N/A,#N/A,FALSE,"장축";#N/A,#N/A,FALSE,"4WD"}</definedName>
    <definedName name="_____________SUM1" hidden="1">{#N/A,#N/A,FALSE,"단축1";#N/A,#N/A,FALSE,"단축2";#N/A,#N/A,FALSE,"단축3";#N/A,#N/A,FALSE,"장축";#N/A,#N/A,FALSE,"4WD"}</definedName>
    <definedName name="____________A3" hidden="1">{#N/A,#N/A,FALSE,"단축1";#N/A,#N/A,FALSE,"단축2";#N/A,#N/A,FALSE,"단축3";#N/A,#N/A,FALSE,"장축";#N/A,#N/A,FALSE,"4WD"}</definedName>
    <definedName name="____________P3" hidden="1">{#N/A,#N/A,FALSE,"배수1"}</definedName>
    <definedName name="____________P4" hidden="1">{#N/A,#N/A,FALSE,"혼합골재"}</definedName>
    <definedName name="____________P5" hidden="1">{#N/A,#N/A,FALSE,"배수1"}</definedName>
    <definedName name="____________P6" hidden="1">{#N/A,#N/A,FALSE,"2~8번"}</definedName>
    <definedName name="____________S3" hidden="1">{#N/A,#N/A,FALSE,"포장2"}</definedName>
    <definedName name="____________SUM1" hidden="1">{#N/A,#N/A,FALSE,"단축1";#N/A,#N/A,FALSE,"단축2";#N/A,#N/A,FALSE,"단축3";#N/A,#N/A,FALSE,"장축";#N/A,#N/A,FALSE,"4WD"}</definedName>
    <definedName name="____________TT1" hidden="1">{#N/A,#N/A,FALSE,"현장 NCR 분석";#N/A,#N/A,FALSE,"현장품질감사";#N/A,#N/A,FALSE,"현장품질감사"}</definedName>
    <definedName name="____________TT3" hidden="1">{#N/A,#N/A,FALSE,"현장 NCR 분석";#N/A,#N/A,FALSE,"현장품질감사";#N/A,#N/A,FALSE,"현장품질감사"}</definedName>
    <definedName name="___________A3" hidden="1">{#N/A,#N/A,FALSE,"단축1";#N/A,#N/A,FALSE,"단축2";#N/A,#N/A,FALSE,"단축3";#N/A,#N/A,FALSE,"장축";#N/A,#N/A,FALSE,"4WD"}</definedName>
    <definedName name="___________P3" hidden="1">{#N/A,#N/A,FALSE,"배수1"}</definedName>
    <definedName name="___________P4" hidden="1">{#N/A,#N/A,FALSE,"혼합골재"}</definedName>
    <definedName name="___________P5" hidden="1">{#N/A,#N/A,FALSE,"배수1"}</definedName>
    <definedName name="___________P6" hidden="1">{#N/A,#N/A,FALSE,"2~8번"}</definedName>
    <definedName name="___________S3" hidden="1">{#N/A,#N/A,FALSE,"포장2"}</definedName>
    <definedName name="___________SUM1" hidden="1">{#N/A,#N/A,FALSE,"단축1";#N/A,#N/A,FALSE,"단축2";#N/A,#N/A,FALSE,"단축3";#N/A,#N/A,FALSE,"장축";#N/A,#N/A,FALSE,"4WD"}</definedName>
    <definedName name="__________A3" hidden="1">{#N/A,#N/A,FALSE,"단축1";#N/A,#N/A,FALSE,"단축2";#N/A,#N/A,FALSE,"단축3";#N/A,#N/A,FALSE,"장축";#N/A,#N/A,FALSE,"4WD"}</definedName>
    <definedName name="__________SUM1" hidden="1">{#N/A,#N/A,FALSE,"단축1";#N/A,#N/A,FALSE,"단축2";#N/A,#N/A,FALSE,"단축3";#N/A,#N/A,FALSE,"장축";#N/A,#N/A,FALSE,"4WD"}</definedName>
    <definedName name="__________TT1" hidden="1">{#N/A,#N/A,FALSE,"현장 NCR 분석";#N/A,#N/A,FALSE,"현장품질감사";#N/A,#N/A,FALSE,"현장품질감사"}</definedName>
    <definedName name="__________TT3" hidden="1">{#N/A,#N/A,FALSE,"현장 NCR 분석";#N/A,#N/A,FALSE,"현장품질감사";#N/A,#N/A,FALSE,"현장품질감사"}</definedName>
    <definedName name="_________A3" hidden="1">{#N/A,#N/A,FALSE,"단축1";#N/A,#N/A,FALSE,"단축2";#N/A,#N/A,FALSE,"단축3";#N/A,#N/A,FALSE,"장축";#N/A,#N/A,FALSE,"4WD"}</definedName>
    <definedName name="_________SUM1" hidden="1">{#N/A,#N/A,FALSE,"단축1";#N/A,#N/A,FALSE,"단축2";#N/A,#N/A,FALSE,"단축3";#N/A,#N/A,FALSE,"장축";#N/A,#N/A,FALSE,"4WD"}</definedName>
    <definedName name="________A3" hidden="1">{#N/A,#N/A,FALSE,"단축1";#N/A,#N/A,FALSE,"단축2";#N/A,#N/A,FALSE,"단축3";#N/A,#N/A,FALSE,"장축";#N/A,#N/A,FALSE,"4WD"}</definedName>
    <definedName name="________SUM1" hidden="1">{#N/A,#N/A,FALSE,"단축1";#N/A,#N/A,FALSE,"단축2";#N/A,#N/A,FALSE,"단축3";#N/A,#N/A,FALSE,"장축";#N/A,#N/A,FALSE,"4WD"}</definedName>
    <definedName name="________TT1" hidden="1">{#N/A,#N/A,FALSE,"현장 NCR 분석";#N/A,#N/A,FALSE,"현장품질감사";#N/A,#N/A,FALSE,"현장품질감사"}</definedName>
    <definedName name="________TT3" hidden="1">{#N/A,#N/A,FALSE,"현장 NCR 분석";#N/A,#N/A,FALSE,"현장품질감사";#N/A,#N/A,FALSE,"현장품질감사"}</definedName>
    <definedName name="_______A3" hidden="1">{#N/A,#N/A,FALSE,"단축1";#N/A,#N/A,FALSE,"단축2";#N/A,#N/A,FALSE,"단축3";#N/A,#N/A,FALSE,"장축";#N/A,#N/A,FALSE,"4WD"}</definedName>
    <definedName name="_______P3" hidden="1">{#N/A,#N/A,FALSE,"배수1"}</definedName>
    <definedName name="_______P4" hidden="1">{#N/A,#N/A,FALSE,"혼합골재"}</definedName>
    <definedName name="_______P5" hidden="1">{#N/A,#N/A,FALSE,"배수1"}</definedName>
    <definedName name="_______P6" hidden="1">{#N/A,#N/A,FALSE,"2~8번"}</definedName>
    <definedName name="_______S3" hidden="1">{#N/A,#N/A,FALSE,"포장2"}</definedName>
    <definedName name="_______SUM1" hidden="1">{#N/A,#N/A,FALSE,"단축1";#N/A,#N/A,FALSE,"단축2";#N/A,#N/A,FALSE,"단축3";#N/A,#N/A,FALSE,"장축";#N/A,#N/A,FALSE,"4WD"}</definedName>
    <definedName name="______A3" hidden="1">{#N/A,#N/A,FALSE,"단축1";#N/A,#N/A,FALSE,"단축2";#N/A,#N/A,FALSE,"단축3";#N/A,#N/A,FALSE,"장축";#N/A,#N/A,FALSE,"4WD"}</definedName>
    <definedName name="______P3" hidden="1">{#N/A,#N/A,FALSE,"배수1"}</definedName>
    <definedName name="______P4" hidden="1">{#N/A,#N/A,FALSE,"혼합골재"}</definedName>
    <definedName name="______P5" hidden="1">{#N/A,#N/A,FALSE,"배수1"}</definedName>
    <definedName name="______P6" hidden="1">{#N/A,#N/A,FALSE,"2~8번"}</definedName>
    <definedName name="______q1" hidden="1">{"'Sheet1'!$A$4","'Sheet1'!$A$9:$G$28"}</definedName>
    <definedName name="______S3" hidden="1">{#N/A,#N/A,FALSE,"포장2"}</definedName>
    <definedName name="______SUM1" hidden="1">{#N/A,#N/A,FALSE,"단축1";#N/A,#N/A,FALSE,"단축2";#N/A,#N/A,FALSE,"단축3";#N/A,#N/A,FALSE,"장축";#N/A,#N/A,FALSE,"4WD"}</definedName>
    <definedName name="______TT1" hidden="1">{#N/A,#N/A,FALSE,"현장 NCR 분석";#N/A,#N/A,FALSE,"현장품질감사";#N/A,#N/A,FALSE,"현장품질감사"}</definedName>
    <definedName name="______TT3" hidden="1">{#N/A,#N/A,FALSE,"현장 NCR 분석";#N/A,#N/A,FALSE,"현장품질감사";#N/A,#N/A,FALSE,"현장품질감사"}</definedName>
    <definedName name="______xlfn.BAHTTEXT" hidden="1">#NAME?</definedName>
    <definedName name="_____A3" hidden="1">{#N/A,#N/A,FALSE,"단축1";#N/A,#N/A,FALSE,"단축2";#N/A,#N/A,FALSE,"단축3";#N/A,#N/A,FALSE,"장축";#N/A,#N/A,FALSE,"4WD"}</definedName>
    <definedName name="_____key2" hidden="1">#REF!</definedName>
    <definedName name="_____q1" hidden="1">{"'Sheet1'!$A$4","'Sheet1'!$A$9:$G$28"}</definedName>
    <definedName name="_____SUM1" hidden="1">{#N/A,#N/A,FALSE,"단축1";#N/A,#N/A,FALSE,"단축2";#N/A,#N/A,FALSE,"단축3";#N/A,#N/A,FALSE,"장축";#N/A,#N/A,FALSE,"4WD"}</definedName>
    <definedName name="_____xlfn.BAHTTEXT" hidden="1">#NAME?</definedName>
    <definedName name="____A3" hidden="1">{#N/A,#N/A,FALSE,"단축1";#N/A,#N/A,FALSE,"단축2";#N/A,#N/A,FALSE,"단축3";#N/A,#N/A,FALSE,"장축";#N/A,#N/A,FALSE,"4WD"}</definedName>
    <definedName name="____EE1" hidden="1">{#N/A,#N/A,FALSE,"단가표지"}</definedName>
    <definedName name="____ggg1" hidden="1">{#N/A,#N/A,FALSE,"갑지";#N/A,#N/A,FALSE,"개요";#N/A,#N/A,FALSE,"비목별";#N/A,#N/A,FALSE,"건물별";#N/A,#N/A,FALSE,"기구표";#N/A,#N/A,FALSE,"직원투입"}</definedName>
    <definedName name="____key21" hidden="1">#REF!</definedName>
    <definedName name="____q1" hidden="1">{"'Sheet1'!$A$4","'Sheet1'!$A$9:$G$28"}</definedName>
    <definedName name="____SUM1" hidden="1">{#N/A,#N/A,FALSE,"단축1";#N/A,#N/A,FALSE,"단축2";#N/A,#N/A,FALSE,"단축3";#N/A,#N/A,FALSE,"장축";#N/A,#N/A,FALSE,"4WD"}</definedName>
    <definedName name="____TT1" hidden="1">{#N/A,#N/A,FALSE,"현장 NCR 분석";#N/A,#N/A,FALSE,"현장품질감사";#N/A,#N/A,FALSE,"현장품질감사"}</definedName>
    <definedName name="____TT3" hidden="1">{#N/A,#N/A,FALSE,"현장 NCR 분석";#N/A,#N/A,FALSE,"현장품질감사";#N/A,#N/A,FALSE,"현장품질감사"}</definedName>
    <definedName name="____xlfn.BAHTTEXT" hidden="1">#NAME?</definedName>
    <definedName name="___a1" hidden="1">#REF!</definedName>
    <definedName name="___A3" hidden="1">{#N/A,#N/A,FALSE,"단축1";#N/A,#N/A,FALSE,"단축2";#N/A,#N/A,FALSE,"단축3";#N/A,#N/A,FALSE,"장축";#N/A,#N/A,FALSE,"4WD"}</definedName>
    <definedName name="___EE1" hidden="1">{#N/A,#N/A,FALSE,"단가표지"}</definedName>
    <definedName name="___ggg1" hidden="1">{#N/A,#N/A,FALSE,"갑지";#N/A,#N/A,FALSE,"개요";#N/A,#N/A,FALSE,"비목별";#N/A,#N/A,FALSE,"건물별";#N/A,#N/A,FALSE,"기구표";#N/A,#N/A,FALSE,"직원투입"}</definedName>
    <definedName name="___key2" hidden="1">#REF!</definedName>
    <definedName name="___P3" hidden="1">{#N/A,#N/A,FALSE,"배수1"}</definedName>
    <definedName name="___P4" hidden="1">{#N/A,#N/A,FALSE,"혼합골재"}</definedName>
    <definedName name="___P5" hidden="1">{#N/A,#N/A,FALSE,"배수1"}</definedName>
    <definedName name="___P6" hidden="1">{#N/A,#N/A,FALSE,"2~8번"}</definedName>
    <definedName name="___q1" hidden="1">{"'Sheet1'!$A$4","'Sheet1'!$A$9:$G$28"}</definedName>
    <definedName name="___S3" hidden="1">{#N/A,#N/A,FALSE,"포장2"}</definedName>
    <definedName name="___SUM1" hidden="1">{#N/A,#N/A,FALSE,"단축1";#N/A,#N/A,FALSE,"단축2";#N/A,#N/A,FALSE,"단축3";#N/A,#N/A,FALSE,"장축";#N/A,#N/A,FALSE,"4WD"}</definedName>
    <definedName name="___xlfn.BAHTTEXT" hidden="1">#NAME?</definedName>
    <definedName name="__123Graph_A" localSheetId="1" hidden="1">#REF!</definedName>
    <definedName name="__123Graph_A" hidden="1">#REF!</definedName>
    <definedName name="__123Graph_A공광전력" hidden="1">#REF!</definedName>
    <definedName name="__123Graph_A그래프2" hidden="1">#REF!</definedName>
    <definedName name="__123Graph_B" localSheetId="1" hidden="1">#REF!</definedName>
    <definedName name="__123Graph_B" hidden="1">#REF!</definedName>
    <definedName name="__123Graph_B공광전력" hidden="1">#REF!</definedName>
    <definedName name="__123Graph_B그래프2" hidden="1">#REF!</definedName>
    <definedName name="__123Graph_C" hidden="1">#REF!</definedName>
    <definedName name="__123Graph_C공광전력" hidden="1">#REF!</definedName>
    <definedName name="__123Graph_D" hidden="1">#REF!</definedName>
    <definedName name="__123Graph_E" hidden="1">#REF!</definedName>
    <definedName name="__123Graph_F" hidden="1">#REF!</definedName>
    <definedName name="__123Graph_X" hidden="1">#REF!</definedName>
    <definedName name="__123Graph_X공광전력" hidden="1">#REF!</definedName>
    <definedName name="__123Graph_X그래프2" hidden="1">#REF!</definedName>
    <definedName name="__2_0_F" hidden="1">#REF!</definedName>
    <definedName name="__21P6_" hidden="1">{#N/A,#N/A,FALSE,"2~8번"}</definedName>
    <definedName name="__4_0_S" hidden="1">#REF!</definedName>
    <definedName name="__a1" hidden="1">#REF!</definedName>
    <definedName name="__A3" hidden="1">{#N/A,#N/A,FALSE,"단축1";#N/A,#N/A,FALSE,"단축2";#N/A,#N/A,FALSE,"단축3";#N/A,#N/A,FALSE,"장축";#N/A,#N/A,FALSE,"4WD"}</definedName>
    <definedName name="__amp2000" hidden="1">{#N/A,#N/A,FALSE,"부대2"}</definedName>
    <definedName name="__dfdfe" hidden="1">#REF!</definedName>
    <definedName name="__EE1" localSheetId="0" hidden="1">{#N/A,#N/A,FALSE,"단가표지"}</definedName>
    <definedName name="__EE1" hidden="1">{#N/A,#N/A,FALSE,"단가표지"}</definedName>
    <definedName name="__ggg1" hidden="1">{#N/A,#N/A,FALSE,"갑지";#N/A,#N/A,FALSE,"개요";#N/A,#N/A,FALSE,"비목별";#N/A,#N/A,FALSE,"건물별";#N/A,#N/A,FALSE,"기구표";#N/A,#N/A,FALSE,"직원투입"}</definedName>
    <definedName name="__IntlFixup" hidden="1">TRUE</definedName>
    <definedName name="__Key11" hidden="1">#REF!</definedName>
    <definedName name="__key2" hidden="1">#REF!</definedName>
    <definedName name="__key21" hidden="1">#REF!</definedName>
    <definedName name="__ncr2" hidden="1">{#N/A,#N/A,FALSE,"현장 NCR 분석";#N/A,#N/A,FALSE,"현장품질감사";#N/A,#N/A,FALSE,"현장품질감사"}</definedName>
    <definedName name="__P3" hidden="1">{#N/A,#N/A,FALSE,"배수1"}</definedName>
    <definedName name="__P4" hidden="1">{#N/A,#N/A,FALSE,"혼합골재"}</definedName>
    <definedName name="__P5" hidden="1">{#N/A,#N/A,FALSE,"배수1"}</definedName>
    <definedName name="__P6" hidden="1">{#N/A,#N/A,FALSE,"2~8번"}</definedName>
    <definedName name="__POS1" hidden="1">{#N/A,#N/A,FALSE,"양식(을)"}</definedName>
    <definedName name="__QQ1" hidden="1">{#N/A,#N/A,FALSE,"단가표지"}</definedName>
    <definedName name="__QW1" hidden="1">{#N/A,#N/A,FALSE,"단가표지"}</definedName>
    <definedName name="__S3" hidden="1">{#N/A,#N/A,FALSE,"포장2"}</definedName>
    <definedName name="__SS1" hidden="1">{#N/A,#N/A,FALSE,"운반시간"}</definedName>
    <definedName name="__SUM1" hidden="1">{#N/A,#N/A,FALSE,"단축1";#N/A,#N/A,FALSE,"단축2";#N/A,#N/A,FALSE,"단축3";#N/A,#N/A,FALSE,"장축";#N/A,#N/A,FALSE,"4WD"}</definedName>
    <definedName name="__TT1" hidden="1">{#N/A,#N/A,FALSE,"현장 NCR 분석";#N/A,#N/A,FALSE,"현장품질감사";#N/A,#N/A,FALSE,"현장품질감사"}</definedName>
    <definedName name="__TT3" hidden="1">{#N/A,#N/A,FALSE,"현장 NCR 분석";#N/A,#N/A,FALSE,"현장품질감사";#N/A,#N/A,FALSE,"현장품질감사"}</definedName>
    <definedName name="__xlfn.BAHTTEXT" hidden="1">#NAME?</definedName>
    <definedName name="_1_0_0_F" hidden="1">#REF!</definedName>
    <definedName name="_1_0_F" hidden="1">#REF!</definedName>
    <definedName name="_1_0_S" hidden="1">#REF!</definedName>
    <definedName name="_1_123Grap" hidden="1">#REF!</definedName>
    <definedName name="_1¤§¤_¤¡" hidden="1">{#N/A,#N/A,FALSE,"Sheet1"}</definedName>
    <definedName name="_10_0_0__123Grap" hidden="1">#REF!</definedName>
    <definedName name="_104_0_F" hidden="1">#REF!</definedName>
    <definedName name="_11_0_S" hidden="1">#REF!</definedName>
    <definedName name="_112_0_0_S" hidden="1">#REF!</definedName>
    <definedName name="_113_0_0_S" hidden="1">#REF!</definedName>
    <definedName name="_114_0_S" hidden="1">#REF!</definedName>
    <definedName name="_119EE1_" hidden="1">{#N/A,#N/A,FALSE,"단가표지"}</definedName>
    <definedName name="_11a1_" hidden="1">#REF!</definedName>
    <definedName name="_12_0_0_F" hidden="1">#REF!</definedName>
    <definedName name="_12_0_S" hidden="1">#REF!</definedName>
    <definedName name="_123_0_S" hidden="1">#REF!</definedName>
    <definedName name="_12A3_" hidden="1">{#N/A,#N/A,FALSE,"단축1";#N/A,#N/A,FALSE,"단축2";#N/A,#N/A,FALSE,"단축3";#N/A,#N/A,FALSE,"장축";#N/A,#N/A,FALSE,"4WD"}</definedName>
    <definedName name="_13EE1_" hidden="1">{#N/A,#N/A,FALSE,"단가표지"}</definedName>
    <definedName name="_13P3_" hidden="1">{#N/A,#N/A,FALSE,"배수1"}</definedName>
    <definedName name="_14___0_Dist_" hidden="1">#REF!</definedName>
    <definedName name="_14_0_0_S" hidden="1">#REF!</definedName>
    <definedName name="_14K123_" hidden="1">{#N/A,#N/A,FALSE,"현장 NCR 분석";#N/A,#N/A,FALSE,"현장품질감사";#N/A,#N/A,FALSE,"현장품질감사"}</definedName>
    <definedName name="_14P4_" hidden="1">{#N/A,#N/A,FALSE,"혼합골재"}</definedName>
    <definedName name="_15_0_0__123Grap" hidden="1">#REF!</definedName>
    <definedName name="_15_2___Parse" hidden="1">#REF!</definedName>
    <definedName name="_15P3_" hidden="1">{#N/A,#N/A,FALSE,"배수1"}</definedName>
    <definedName name="_15P5_" hidden="1">{#N/A,#N/A,FALSE,"배수1"}</definedName>
    <definedName name="_16_0_F" hidden="1">#REF!</definedName>
    <definedName name="_16A22_" hidden="1">{#N/A,#N/A,FALSE,"부대1"}</definedName>
    <definedName name="_16F" hidden="1">#REF!</definedName>
    <definedName name="_16P6_" hidden="1">{#N/A,#N/A,FALSE,"2~8번"}</definedName>
    <definedName name="_17_0_F" hidden="1">#REF!</definedName>
    <definedName name="_17P4_" hidden="1">{#N/A,#N/A,FALSE,"혼합골재"}</definedName>
    <definedName name="_17S3_" hidden="1">{#N/A,#N/A,FALSE,"포장2"}</definedName>
    <definedName name="_18_0_0_F" hidden="1">#REF!</definedName>
    <definedName name="_18_2_0_Parse" hidden="1">#REF!</definedName>
    <definedName name="_18P3_" hidden="1">{#N/A,#N/A,FALSE,"배수1"}</definedName>
    <definedName name="_19_0_F" hidden="1">#REF!</definedName>
    <definedName name="_19_0_S" hidden="1">#REF!</definedName>
    <definedName name="_19K123_" hidden="1">{#N/A,#N/A,FALSE,"현장 NCR 분석";#N/A,#N/A,FALSE,"현장품질감사";#N/A,#N/A,FALSE,"현장품질감사"}</definedName>
    <definedName name="_19P4_" hidden="1">{#N/A,#N/A,FALSE,"혼합골재"}</definedName>
    <definedName name="_19P5_" hidden="1">{#N/A,#N/A,FALSE,"배수1"}</definedName>
    <definedName name="_1F" hidden="1">#REF!</definedName>
    <definedName name="_1P3_" hidden="1">{#N/A,#N/A,FALSE,"배수1"}</definedName>
    <definedName name="_1S" hidden="1">#REF!</definedName>
    <definedName name="_2____0_F" hidden="1">#REF!</definedName>
    <definedName name="_2_0_F" hidden="1">#REF!</definedName>
    <definedName name="_2_0_S" hidden="1">#REF!</definedName>
    <definedName name="_20_0_S" hidden="1">#REF!</definedName>
    <definedName name="_20P5_" hidden="1">{#N/A,#N/A,FALSE,"배수1"}</definedName>
    <definedName name="_21_0_0__123Grap" hidden="1">#REF!</definedName>
    <definedName name="_21_0_0_S" hidden="1">#REF!</definedName>
    <definedName name="_21_0_S" hidden="1">#REF!</definedName>
    <definedName name="_21P6_" hidden="1">{#N/A,#N/A,FALSE,"2~8번"}</definedName>
    <definedName name="_22_0_S" hidden="1">#REF!</definedName>
    <definedName name="_22S3_" hidden="1">{#N/A,#N/A,FALSE,"포장2"}</definedName>
    <definedName name="_22wrn.Ã¶°ñÁý°èÇ_._.5Ä­." hidden="1">{#N/A,#N/A,FALSE,"Sheet1"}</definedName>
    <definedName name="_2309f" hidden="1">#REF!</definedName>
    <definedName name="_232A22_" hidden="1">{#N/A,#N/A,FALSE,"부대1"}</definedName>
    <definedName name="_23fil" hidden="1">#REF!</definedName>
    <definedName name="_23i99" hidden="1">#REF!</definedName>
    <definedName name="_23S3_" hidden="1">{#N/A,#N/A,FALSE,"포장2"}</definedName>
    <definedName name="_24342" hidden="1">#REF!</definedName>
    <definedName name="_24P3_" hidden="1">{#N/A,#N/A,FALSE,"배수1"}</definedName>
    <definedName name="_25P3_" hidden="1">{#N/A,#N/A,FALSE,"배수1"}</definedName>
    <definedName name="_26P4_" hidden="1">{#N/A,#N/A,FALSE,"혼합골재"}</definedName>
    <definedName name="_27P5_" hidden="1">{#N/A,#N/A,FALSE,"배수1"}</definedName>
    <definedName name="_28P5_" hidden="1">{#N/A,#N/A,FALSE,"배수1"}</definedName>
    <definedName name="_28P6_" hidden="1">{#N/A,#N/A,FALSE,"2~8번"}</definedName>
    <definedName name="_29a1_" hidden="1">#REF!</definedName>
    <definedName name="_2Dist_" hidden="1">#REF!</definedName>
    <definedName name="_2P4_" hidden="1">{#N/A,#N/A,FALSE,"혼합골재"}</definedName>
    <definedName name="_2S" hidden="1">#REF!</definedName>
    <definedName name="_3____0_S" hidden="1">#REF!</definedName>
    <definedName name="_3_0_F" hidden="1">#REF!</definedName>
    <definedName name="_3_0_S" hidden="1">#REF!</definedName>
    <definedName name="_3_2___Parse" hidden="1">#REF!</definedName>
    <definedName name="_30F" hidden="1">#REF!</definedName>
    <definedName name="_30P6_" hidden="1">{#N/A,#N/A,FALSE,"2~8번"}</definedName>
    <definedName name="_31_0_F" hidden="1">#REF!</definedName>
    <definedName name="_316P3_" hidden="1">{#N/A,#N/A,FALSE,"배수1"}</definedName>
    <definedName name="_32_0_S" hidden="1">#REF!</definedName>
    <definedName name="_323fil" hidden="1">#REF!</definedName>
    <definedName name="_324dfel" hidden="1">#REF!</definedName>
    <definedName name="_32fial" hidden="1">#REF!</definedName>
    <definedName name="_32S3_" hidden="1">{#N/A,#N/A,FALSE,"포장2"}</definedName>
    <definedName name="_33_0_S" hidden="1">#REF!</definedName>
    <definedName name="_333ddl" hidden="1">#REF!</definedName>
    <definedName name="_34_0_0_F" hidden="1">#REF!</definedName>
    <definedName name="_34_0_S" hidden="1">#REF!</definedName>
    <definedName name="_34234if" hidden="1">#REF!</definedName>
    <definedName name="_35_0_0_F" hidden="1">#REF!</definedName>
    <definedName name="_352P4_" hidden="1">{#N/A,#N/A,FALSE,"혼합골재"}</definedName>
    <definedName name="_37_0_S" hidden="1">#REF!</definedName>
    <definedName name="_388P5_" hidden="1">{#N/A,#N/A,FALSE,"배수1"}</definedName>
    <definedName name="_38S3_" hidden="1">{#N/A,#N/A,FALSE,"포장2"}</definedName>
    <definedName name="_3F" hidden="1">#REF!</definedName>
    <definedName name="_3ihil" hidden="1">#REF!</definedName>
    <definedName name="_3P5_" hidden="1">{#N/A,#N/A,FALSE,"배수1"}</definedName>
    <definedName name="_4___0_S" hidden="1">#REF!</definedName>
    <definedName name="_4_0__123Grap" hidden="1">#REF!</definedName>
    <definedName name="_4_0_S" hidden="1">#REF!</definedName>
    <definedName name="_4_2_0_Parse" hidden="1">#REF!</definedName>
    <definedName name="_424P6_" hidden="1">{#N/A,#N/A,FALSE,"2~8번"}</definedName>
    <definedName name="_460S3_" hidden="1">{#N/A,#N/A,FALSE,"포장2"}</definedName>
    <definedName name="_48_0_S" hidden="1">#REF!</definedName>
    <definedName name="_49S" hidden="1">#REF!</definedName>
    <definedName name="_4P6_" hidden="1">{#N/A,#N/A,FALSE,"2~8번"}</definedName>
    <definedName name="_5____0_S" hidden="1">#REF!</definedName>
    <definedName name="_5_0_0__123Grap" hidden="1">#REF!</definedName>
    <definedName name="_5_0_Dist_" hidden="1">#REF!</definedName>
    <definedName name="_5_0_S" hidden="1">#REF!</definedName>
    <definedName name="_5_2___Parse" hidden="1">#REF!</definedName>
    <definedName name="_50_0_S" hidden="1">#REF!</definedName>
    <definedName name="_51_0_S" hidden="1">#REF!</definedName>
    <definedName name="_5S3_" hidden="1">{#N/A,#N/A,FALSE,"포장2"}</definedName>
    <definedName name="_6_0_0__123Grap" hidden="1">#REF!</definedName>
    <definedName name="_6_0_0_F" hidden="1">#REF!</definedName>
    <definedName name="_6_0_S" hidden="1">#REF!</definedName>
    <definedName name="_6_2_0_Parse" hidden="1">#REF!</definedName>
    <definedName name="_67S" hidden="1">#REF!</definedName>
    <definedName name="_68A3_" hidden="1">{#N/A,#N/A,FALSE,"단축1";#N/A,#N/A,FALSE,"단축2";#N/A,#N/A,FALSE,"단축3";#N/A,#N/A,FALSE,"장축";#N/A,#N/A,FALSE,"4WD"}</definedName>
    <definedName name="_6S" hidden="1">#REF!</definedName>
    <definedName name="_7___0__123Grap" hidden="1">#REF!</definedName>
    <definedName name="_7_0_0_F" hidden="1">#REF!</definedName>
    <definedName name="_7_0_0_S" hidden="1">#REF!</definedName>
    <definedName name="_7_0_S" hidden="1">#REF!</definedName>
    <definedName name="_78_0_0__123Grap" hidden="1">#REF!</definedName>
    <definedName name="_79_0_0__123Grap" hidden="1">#REF!</definedName>
    <definedName name="_79A3_" hidden="1">{#N/A,#N/A,FALSE,"단축1";#N/A,#N/A,FALSE,"단축2";#N/A,#N/A,FALSE,"단축3";#N/A,#N/A,FALSE,"장축";#N/A,#N/A,FALSE,"4WD"}</definedName>
    <definedName name="_7A3_" hidden="1">{#N/A,#N/A,FALSE,"단축1";#N/A,#N/A,FALSE,"단축2";#N/A,#N/A,FALSE,"단축3";#N/A,#N/A,FALSE,"장축";#N/A,#N/A,FALSE,"4WD"}</definedName>
    <definedName name="_7EE1_" hidden="1">{#N/A,#N/A,FALSE,"단가표지"}</definedName>
    <definedName name="_7유" hidden="1">#REF!</definedName>
    <definedName name="_8_0_0_S" hidden="1">#REF!</definedName>
    <definedName name="_8_0_S" hidden="1">#REF!</definedName>
    <definedName name="_9_0_F" hidden="1">#REF!</definedName>
    <definedName name="_95_0_0_F" hidden="1">#REF!</definedName>
    <definedName name="_96_0_0_F" hidden="1">#REF!</definedName>
    <definedName name="_98EE1_" hidden="1">{#N/A,#N/A,FALSE,"단가표지"}</definedName>
    <definedName name="_a1" hidden="1">#REF!</definedName>
    <definedName name="_A3" hidden="1">{#N/A,#N/A,FALSE,"단축1";#N/A,#N/A,FALSE,"단축2";#N/A,#N/A,FALSE,"단축3";#N/A,#N/A,FALSE,"장축";#N/A,#N/A,FALSE,"4WD"}</definedName>
    <definedName name="_aasseil" hidden="1">#REF!</definedName>
    <definedName name="_abecrombie" hidden="1">#REF!</definedName>
    <definedName name="_AE" hidden="1">#REF!</definedName>
    <definedName name="_aeifel" hidden="1">#REF!</definedName>
    <definedName name="_aeiilll2" hidden="1">#REF!</definedName>
    <definedName name="_aewil" hidden="1">#REF!</definedName>
    <definedName name="_aidldlf" hidden="1">#REF!</definedName>
    <definedName name="_aill" hidden="1">#REF!</definedName>
    <definedName name="_aill2" hidden="1">#REF!</definedName>
    <definedName name="_aiooips" hidden="1">#REF!</definedName>
    <definedName name="_aksdl" hidden="1">#REF!</definedName>
    <definedName name="_akzio" hidden="1">#REF!</definedName>
    <definedName name="_alpqpdi" hidden="1">#REF!</definedName>
    <definedName name="_aoiaiei" hidden="1">#REF!</definedName>
    <definedName name="_apfdkd" hidden="1">#REF!</definedName>
    <definedName name="_aseil" hidden="1">#REF!</definedName>
    <definedName name="_asill" hidden="1">#REF!</definedName>
    <definedName name="_asilll" hidden="1">#REF!</definedName>
    <definedName name="_asldsl" hidden="1">#REF!</definedName>
    <definedName name="_assiill" hidden="1">#REF!</definedName>
    <definedName name="_biblsl" hidden="1">#REF!</definedName>
    <definedName name="_bilil" hidden="1">#REF!</definedName>
    <definedName name="_bill" hidden="1">#REF!</definedName>
    <definedName name="_Builtin13" hidden="1">#REF!</definedName>
    <definedName name="_cceeil" hidden="1">#REF!</definedName>
    <definedName name="_ccill" hidden="1">#REF!</definedName>
    <definedName name="_cdill" hidden="1">#REF!</definedName>
    <definedName name="_cfecil" hidden="1">#REF!</definedName>
    <definedName name="_cfelllss" hidden="1">#REF!</definedName>
    <definedName name="_cicile" hidden="1">#REF!</definedName>
    <definedName name="_cill" hidden="1">#REF!</definedName>
    <definedName name="_ck" hidden="1">#REF!</definedName>
    <definedName name="_d2jkjl" hidden="1">#REF!</definedName>
    <definedName name="_d3fefe" hidden="1">#REF!</definedName>
    <definedName name="_daeidl" hidden="1">#REF!</definedName>
    <definedName name="_daeiel" hidden="1">#REF!</definedName>
    <definedName name="_dail" hidden="1">#REF!</definedName>
    <definedName name="_dcccil" hidden="1">#REF!</definedName>
    <definedName name="_ddaill" hidden="1">#REF!</definedName>
    <definedName name="_ddd" hidden="1">#REF!</definedName>
    <definedName name="_dddilaa" hidden="1">#REF!</definedName>
    <definedName name="_ddeil" hidden="1">#REF!</definedName>
    <definedName name="_ddeil33" hidden="1">#REF!</definedName>
    <definedName name="_ddfefe" hidden="1">#REF!</definedName>
    <definedName name="_ddffii" hidden="1">#REF!</definedName>
    <definedName name="_ddiiwso" hidden="1">#REF!</definedName>
    <definedName name="_ddill" hidden="1">#REF!</definedName>
    <definedName name="_ddliflil" hidden="1">#REF!</definedName>
    <definedName name="_ddsoifio" hidden="1">#REF!</definedName>
    <definedName name="_de239" hidden="1">#REF!</definedName>
    <definedName name="_defeil" hidden="1">#REF!</definedName>
    <definedName name="_deraw" hidden="1">#REF!</definedName>
    <definedName name="_dfaer" hidden="1">#REF!</definedName>
    <definedName name="_dfdk" hidden="1">#REF!</definedName>
    <definedName name="_dfdkk3" hidden="1">#REF!</definedName>
    <definedName name="_dfeil" hidden="1">#REF!</definedName>
    <definedName name="_dfg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_dfidifl" hidden="1">#REF!</definedName>
    <definedName name="_dfiefl23" hidden="1">#REF!</definedName>
    <definedName name="_dfieifoi" hidden="1">#REF!</definedName>
    <definedName name="_dfifeioil." hidden="1">#REF!</definedName>
    <definedName name="_dfifoie" hidden="1">#REF!</definedName>
    <definedName name="_dfiieee" hidden="1">#REF!</definedName>
    <definedName name="_dfill" hidden="1">#REF!</definedName>
    <definedName name="_dfkffja" hidden="1">#REF!</definedName>
    <definedName name="_dfklsfjw" hidden="1">#REF!</definedName>
    <definedName name="_dfksljfsew" hidden="1">#REF!</definedName>
    <definedName name="_dflfoieoi" hidden="1">#REF!</definedName>
    <definedName name="_dfmill" hidden="1">#REF!</definedName>
    <definedName name="_dfpqp" hidden="1">#REF!</definedName>
    <definedName name="_dfpqpas" hidden="1">#REF!</definedName>
    <definedName name="_dfuidfo" hidden="1">#REF!</definedName>
    <definedName name="_dfyyyieiel" hidden="1">#REF!</definedName>
    <definedName name="_dhihil" hidden="1">#REF!</definedName>
    <definedName name="_diael2" hidden="1">#REF!</definedName>
    <definedName name="_dicicliwliw" hidden="1">#REF!</definedName>
    <definedName name="_didl" hidden="1">#REF!</definedName>
    <definedName name="_didlifdi" hidden="1">#REF!</definedName>
    <definedName name="_dieireo" hidden="1">#REF!</definedName>
    <definedName name="_diewoiewl" hidden="1">#REF!</definedName>
    <definedName name="_difdlf" hidden="1">#REF!</definedName>
    <definedName name="_difefiel" hidden="1">#REF!</definedName>
    <definedName name="_difeifoie" hidden="1">#REF!</definedName>
    <definedName name="_difeowfla" hidden="1">#REF!</definedName>
    <definedName name="_difieifl" hidden="1">#REF!</definedName>
    <definedName name="_difiill" hidden="1">#REF!</definedName>
    <definedName name="_difisel" hidden="1">#REF!</definedName>
    <definedName name="_difiwi" hidden="1">#REF!</definedName>
    <definedName name="_difjdii" hidden="1">#REF!</definedName>
    <definedName name="_difoiwo43" hidden="1">#REF!</definedName>
    <definedName name="_difowo2" hidden="1">#REF!</definedName>
    <definedName name="_difpwpe" hidden="1">#REF!</definedName>
    <definedName name="_diieidid" hidden="1">#REF!</definedName>
    <definedName name="_diiooo" hidden="1">#REF!</definedName>
    <definedName name="_dill" hidden="1">#REF!</definedName>
    <definedName name="_dill2" hidden="1">#REF!</definedName>
    <definedName name="_disilefil" hidden="1">#REF!</definedName>
    <definedName name="_dist__bin" hidden="1">#REF!</definedName>
    <definedName name="_Dist_Bin" hidden="1">#REF!</definedName>
    <definedName name="_Dist_Values" localSheetId="1" hidden="1">#REF!</definedName>
    <definedName name="_Dist_Values" hidden="1">#REF!</definedName>
    <definedName name="_diww3" hidden="1">#REF!</definedName>
    <definedName name="_dizilew" hidden="1">#REF!</definedName>
    <definedName name="_djfddslf" hidden="1">#REF!</definedName>
    <definedName name="_dkdidiio" hidden="1">#REF!</definedName>
    <definedName name="_dkdiri" hidden="1">#REF!</definedName>
    <definedName name="_dkdkd" hidden="1">#REF!</definedName>
    <definedName name="_dkf" hidden="1">#REF!</definedName>
    <definedName name="_dkfdi" hidden="1">#REF!</definedName>
    <definedName name="_dkfdkjfe" hidden="1">#REF!</definedName>
    <definedName name="_dkfeoi" hidden="1">#REF!</definedName>
    <definedName name="_dkfiefll2" hidden="1">#REF!</definedName>
    <definedName name="_dkfiewo" hidden="1">#REF!</definedName>
    <definedName name="_dkfjfwm" hidden="1">#REF!</definedName>
    <definedName name="_dkfjwio" hidden="1">#REF!</definedName>
    <definedName name="_dkfkd" hidden="1">#REF!</definedName>
    <definedName name="_dkfkoiw" hidden="1">#REF!</definedName>
    <definedName name="_dkfks" hidden="1">#REF!</definedName>
    <definedName name="_dkflkkl" hidden="1">#REF!</definedName>
    <definedName name="_dkflsilel" hidden="1">#REF!</definedName>
    <definedName name="_dkfol" hidden="1">#REF!</definedName>
    <definedName name="_dklao" hidden="1">#REF!</definedName>
    <definedName name="_dkldfiip" hidden="1">#REF!</definedName>
    <definedName name="_dkldlfeoi" hidden="1">#REF!</definedName>
    <definedName name="_dklfelkfl" hidden="1">#REF!</definedName>
    <definedName name="_dklsajfqp" hidden="1">#REF!</definedName>
    <definedName name="_dksislseoi" hidden="1">#REF!</definedName>
    <definedName name="_dkskfkd" hidden="1">#REF!</definedName>
    <definedName name="_dksmil" hidden="1">#REF!</definedName>
    <definedName name="_dkzpekf" hidden="1">#REF!</definedName>
    <definedName name="_dlfwo" hidden="1">#REF!</definedName>
    <definedName name="_dncidcl" hidden="1">#REF!</definedName>
    <definedName name="_dofiei" hidden="1">#REF!</definedName>
    <definedName name="_dofjeio" hidden="1">#REF!</definedName>
    <definedName name="_dopqmwe" hidden="1">#REF!</definedName>
    <definedName name="_dososw" hidden="1">#REF!</definedName>
    <definedName name="_dpds" hidden="1">#REF!</definedName>
    <definedName name="_dpge" hidden="1">#REF!</definedName>
    <definedName name="_dpill" hidden="1">#REF!</definedName>
    <definedName name="_dppei" hidden="1">#REF!</definedName>
    <definedName name="_dpspdsph" hidden="1">#REF!</definedName>
    <definedName name="_dreirill" hidden="1">#REF!</definedName>
    <definedName name="_dsdoifo" hidden="1">#REF!</definedName>
    <definedName name="_dsfill" hidden="1">#REF!</definedName>
    <definedName name="_dsfioq" hidden="1">#REF!</definedName>
    <definedName name="_dsoixiz" hidden="1">#REF!</definedName>
    <definedName name="_dspdp" hidden="1">#REF!</definedName>
    <definedName name="_dy8ielfey" hidden="1">#REF!</definedName>
    <definedName name="_E3" hidden="1">{#N/A,#N/A,FALSE,"조골재"}</definedName>
    <definedName name="_edail" hidden="1">#REF!</definedName>
    <definedName name="_eddfill" hidden="1">#REF!</definedName>
    <definedName name="_eddil" hidden="1">#REF!</definedName>
    <definedName name="_edfil" hidden="1">#REF!</definedName>
    <definedName name="_edfil2" hidden="1">#REF!</definedName>
    <definedName name="_edield" hidden="1">#REF!</definedName>
    <definedName name="_edkfoidoi" hidden="1">#REF!</definedName>
    <definedName name="_ee1" localSheetId="0" hidden="1">{#N/A,#N/A,TRUE,"단가표지"}</definedName>
    <definedName name="_EE1" hidden="1">{#N/A,#N/A,FALSE,"단가표지"}</definedName>
    <definedName name="_EE2" localSheetId="1" hidden="1">{#N/A,#N/A,FALSE,"단가표지"}</definedName>
    <definedName name="_EE2" hidden="1">{#N/A,#N/A,FALSE,"단가표지"}</definedName>
    <definedName name="_eeill" hidden="1">#REF!</definedName>
    <definedName name="_efdcil" hidden="1">#REF!</definedName>
    <definedName name="_efefeapq" hidden="1">#REF!</definedName>
    <definedName name="_efefeif" hidden="1">#REF!</definedName>
    <definedName name="_efefk" hidden="1">#REF!</definedName>
    <definedName name="_effw" hidden="1">#REF!</definedName>
    <definedName name="_efil" hidden="1">#REF!</definedName>
    <definedName name="_efil2" hidden="1">#REF!</definedName>
    <definedName name="_efila" hidden="1">#REF!</definedName>
    <definedName name="_efile" hidden="1">#REF!</definedName>
    <definedName name="_efoiejfeoi" hidden="1">#REF!</definedName>
    <definedName name="_efril" hidden="1">#REF!</definedName>
    <definedName name="_eiafl" hidden="1">#REF!</definedName>
    <definedName name="_eiffel" hidden="1">#REF!</definedName>
    <definedName name="_eifiefoi" hidden="1">#REF!</definedName>
    <definedName name="_eififi09" hidden="1">#REF!</definedName>
    <definedName name="_eiflweil" hidden="1">#REF!</definedName>
    <definedName name="_eifoewf" hidden="1">#REF!</definedName>
    <definedName name="_eifugil" hidden="1">#REF!</definedName>
    <definedName name="_eiifeo" hidden="1">#REF!</definedName>
    <definedName name="_eiil" hidden="1">#REF!</definedName>
    <definedName name="_eiill" hidden="1">#REF!</definedName>
    <definedName name="_eill" hidden="1">#REF!</definedName>
    <definedName name="_eilwwl" hidden="1">#REF!</definedName>
    <definedName name="_eiofoiewoi" hidden="1">#REF!</definedName>
    <definedName name="_eiofoifoi" hidden="1">#REF!</definedName>
    <definedName name="_eiol" hidden="1">#REF!</definedName>
    <definedName name="_eiolli" hidden="1">#REF!</definedName>
    <definedName name="_eiowfp" hidden="1">#REF!</definedName>
    <definedName name="_eireoi" hidden="1">#REF!</definedName>
    <definedName name="_eiroifo" hidden="1">#REF!</definedName>
    <definedName name="_eiwioqug" hidden="1">#REF!</definedName>
    <definedName name="_eiwofil" hidden="1">#REF!</definedName>
    <definedName name="_eiwofka" hidden="1">#REF!</definedName>
    <definedName name="_eiwoflsd" hidden="1">#REF!</definedName>
    <definedName name="_eiwowe32" hidden="1">#REF!</definedName>
    <definedName name="_eizo" hidden="1">#REF!</definedName>
    <definedName name="_ekdo" hidden="1">#REF!</definedName>
    <definedName name="_ekfjefoie" hidden="1">#REF!</definedName>
    <definedName name="_ekiwewoiweo" hidden="1">#REF!</definedName>
    <definedName name="_ekofok" hidden="1">#REF!</definedName>
    <definedName name="_ekqge" hidden="1">#REF!</definedName>
    <definedName name="_ekrieoi" hidden="1">#REF!</definedName>
    <definedName name="_eoeoewow" hidden="1">#REF!</definedName>
    <definedName name="_eofoweo" hidden="1">#REF!</definedName>
    <definedName name="_eofzdk" hidden="1">#REF!</definedName>
    <definedName name="_eoifweoifeo" hidden="1">#REF!</definedName>
    <definedName name="_eoiw9" hidden="1">#REF!</definedName>
    <definedName name="_epepek" hidden="1">#REF!</definedName>
    <definedName name="_eppeox" hidden="1">#REF!</definedName>
    <definedName name="_epqsk" hidden="1">#REF!</definedName>
    <definedName name="_epqzazkd" hidden="1">#REF!</definedName>
    <definedName name="_eqed" hidden="1">#REF!</definedName>
    <definedName name="_erfeil" hidden="1">#REF!</definedName>
    <definedName name="_erffe" hidden="1">#REF!</definedName>
    <definedName name="_eridl" hidden="1">#REF!</definedName>
    <definedName name="_erie" hidden="1">#REF!</definedName>
    <definedName name="_erilff" hidden="1">#REF!</definedName>
    <definedName name="_erill" hidden="1">#REF!</definedName>
    <definedName name="_erilseil" hidden="1">#REF!</definedName>
    <definedName name="_eriwl" hidden="1">#REF!</definedName>
    <definedName name="_ernill" hidden="1">#REF!</definedName>
    <definedName name="_errza" hidden="1">#REF!</definedName>
    <definedName name="_ervil" hidden="1">#REF!</definedName>
    <definedName name="_erwaaz" hidden="1">#REF!</definedName>
    <definedName name="_etkill" hidden="1">#REF!</definedName>
    <definedName name="_eudifil" hidden="1">#REF!</definedName>
    <definedName name="_eweilld" hidden="1">#REF!</definedName>
    <definedName name="_ewivio" hidden="1">#REF!</definedName>
    <definedName name="_eww09r0" hidden="1">#REF!</definedName>
    <definedName name="_faeil" hidden="1">#REF!</definedName>
    <definedName name="_faeill" hidden="1">#REF!</definedName>
    <definedName name="_faeqil" hidden="1">#REF!</definedName>
    <definedName name="_faiel" hidden="1">#REF!</definedName>
    <definedName name="_faielfiefli" hidden="1">#REF!</definedName>
    <definedName name="_fail" hidden="1">#REF!</definedName>
    <definedName name="_fail2" hidden="1">#REF!</definedName>
    <definedName name="_failee3" hidden="1">#REF!</definedName>
    <definedName name="_faill" hidden="1">#REF!</definedName>
    <definedName name="_fall" hidden="1">#REF!</definedName>
    <definedName name="_fbill" hidden="1">#REF!</definedName>
    <definedName name="_fcill" hidden="1">#REF!</definedName>
    <definedName name="_fdafail" hidden="1">#REF!</definedName>
    <definedName name="_fdffe" hidden="1">#REF!</definedName>
    <definedName name="_fdfil" hidden="1">#REF!</definedName>
    <definedName name="_fdgil" hidden="1">#REF!</definedName>
    <definedName name="_fdiaielfl" hidden="1">#REF!</definedName>
    <definedName name="_fdidfivli" hidden="1">#REF!</definedName>
    <definedName name="_fdifdll" hidden="1">#REF!</definedName>
    <definedName name="_fdill" hidden="1">#REF!</definedName>
    <definedName name="_fdk" hidden="1">#REF!</definedName>
    <definedName name="_fe03l" hidden="1">#REF!</definedName>
    <definedName name="_feaail" hidden="1">#REF!</definedName>
    <definedName name="_feaill" hidden="1">#REF!</definedName>
    <definedName name="_fedeil" hidden="1">#REF!</definedName>
    <definedName name="_fediil" hidden="1">#REF!</definedName>
    <definedName name="_fee93l" hidden="1">#REF!</definedName>
    <definedName name="_feekfkl" hidden="1">#REF!</definedName>
    <definedName name="_feeri" hidden="1">#REF!</definedName>
    <definedName name="_feerirl" hidden="1">#REF!</definedName>
    <definedName name="_fefdwil" hidden="1">#REF!</definedName>
    <definedName name="_fefe" hidden="1">#REF!</definedName>
    <definedName name="_fefeill" hidden="1">#REF!</definedName>
    <definedName name="_fefek" hidden="1">#REF!</definedName>
    <definedName name="_fefiiss" hidden="1">#REF!</definedName>
    <definedName name="_fefil2" hidden="1">#REF!</definedName>
    <definedName name="_fefiwll" hidden="1">#REF!</definedName>
    <definedName name="_fefiwo2" hidden="1">#REF!</definedName>
    <definedName name="_fefkdgil" hidden="1">#REF!</definedName>
    <definedName name="_fei2" hidden="1">#REF!</definedName>
    <definedName name="_fei2sl" hidden="1">#REF!</definedName>
    <definedName name="_feifez" hidden="1">#REF!</definedName>
    <definedName name="_feifl" hidden="1">#REF!</definedName>
    <definedName name="_feifle2" hidden="1">#REF!</definedName>
    <definedName name="_feiiidf" hidden="1">#REF!</definedName>
    <definedName name="_feiiql" hidden="1">#REF!</definedName>
    <definedName name="_feiiweil" hidden="1">#REF!</definedName>
    <definedName name="_feil" hidden="1">#REF!</definedName>
    <definedName name="_feil2" hidden="1">#REF!</definedName>
    <definedName name="_feil3" hidden="1">#REF!</definedName>
    <definedName name="_feil33" hidden="1">#REF!</definedName>
    <definedName name="_feild" hidden="1">#REF!</definedName>
    <definedName name="_feilf" hidden="1">#REF!</definedName>
    <definedName name="_feilff" hidden="1">#REF!</definedName>
    <definedName name="_feilli2" hidden="1">#REF!</definedName>
    <definedName name="_feillw" hidden="1">#REF!</definedName>
    <definedName name="_feilsd" hidden="1">#REF!</definedName>
    <definedName name="_feilss2" hidden="1">#REF!</definedName>
    <definedName name="_feilsse" hidden="1">#REF!</definedName>
    <definedName name="_felle" hidden="1">#REF!</definedName>
    <definedName name="_feoifif" hidden="1">#REF!</definedName>
    <definedName name="_feoiio2z" hidden="1">#REF!</definedName>
    <definedName name="_feoijfoij" hidden="1">#REF!</definedName>
    <definedName name="_feopw" hidden="1">#REF!</definedName>
    <definedName name="_feoq2" hidden="1">#REF!</definedName>
    <definedName name="_fereils" hidden="1">#REF!</definedName>
    <definedName name="_ferereril" hidden="1">#REF!</definedName>
    <definedName name="_fesdil" hidden="1">#REF!</definedName>
    <definedName name="_feseils" hidden="1">#REF!</definedName>
    <definedName name="_fesil" hidden="1">#REF!</definedName>
    <definedName name="_ffddl" hidden="1">#REF!</definedName>
    <definedName name="_ffeeiil2" hidden="1">#REF!</definedName>
    <definedName name="_ffefil3" hidden="1">#REF!</definedName>
    <definedName name="_ffeiile" hidden="1">#REF!</definedName>
    <definedName name="_ffeil" hidden="1">#REF!</definedName>
    <definedName name="_ffeil2" hidden="1">#REF!</definedName>
    <definedName name="_ffeilol" hidden="1">#REF!</definedName>
    <definedName name="_ffeilssl" hidden="1">#REF!</definedName>
    <definedName name="_ffeipe" hidden="1">#REF!</definedName>
    <definedName name="_ffiill" hidden="1">#REF!</definedName>
    <definedName name="_ffill" hidden="1">#REF!</definedName>
    <definedName name="_ffkefe" hidden="1">#REF!</definedName>
    <definedName name="_fgegeil" hidden="1">#REF!</definedName>
    <definedName name="_ficil2" hidden="1">#REF!</definedName>
    <definedName name="_fidoifdoi" hidden="1">#REF!</definedName>
    <definedName name="_fieeli" hidden="1">#REF!</definedName>
    <definedName name="_fiefie" hidden="1">#REF!</definedName>
    <definedName name="_fiefiel" hidden="1">#REF!</definedName>
    <definedName name="_fiefieli3" hidden="1">#REF!</definedName>
    <definedName name="_fiefieofo3" hidden="1">#REF!</definedName>
    <definedName name="_fiefiol" hidden="1">#REF!</definedName>
    <definedName name="_fiefl3" hidden="1">#REF!</definedName>
    <definedName name="_fieflefi" hidden="1">#REF!</definedName>
    <definedName name="_fieflilsz" hidden="1">#REF!</definedName>
    <definedName name="_fieflwsz" hidden="1">#REF!</definedName>
    <definedName name="_fiefoeieil" hidden="1">#REF!</definedName>
    <definedName name="_fiefoieoi" hidden="1">#REF!</definedName>
    <definedName name="_fiei" hidden="1">#REF!</definedName>
    <definedName name="_fieige" hidden="1">#REF!</definedName>
    <definedName name="_fieiogjmml" hidden="1">#REF!</definedName>
    <definedName name="_fiel" hidden="1">#REF!</definedName>
    <definedName name="_fielef2" hidden="1">#REF!</definedName>
    <definedName name="_fielfci" hidden="1">#REF!</definedName>
    <definedName name="_fielfld" hidden="1">#REF!</definedName>
    <definedName name="_fielifli" hidden="1">#REF!</definedName>
    <definedName name="_fielifwle2" hidden="1">#REF!</definedName>
    <definedName name="_fiell" hidden="1">#REF!</definedName>
    <definedName name="_fieoss" hidden="1">#REF!</definedName>
    <definedName name="_fieoz" hidden="1">#REF!</definedName>
    <definedName name="_fiieiove" hidden="1">#REF!</definedName>
    <definedName name="_fiioeo3" hidden="1">#REF!</definedName>
    <definedName name="_Fil" hidden="1">#REF!</definedName>
    <definedName name="_fil2" hidden="1">#REF!</definedName>
    <definedName name="_fil3" hidden="1">#REF!</definedName>
    <definedName name="_file2" hidden="1">#REF!</definedName>
    <definedName name="_filell2" hidden="1">#REF!</definedName>
    <definedName name="_Fill" localSheetId="1" hidden="1">#REF!</definedName>
    <definedName name="_Fill" hidden="1">#REF!</definedName>
    <definedName name="_fill1" hidden="1">#REF!</definedName>
    <definedName name="_FILL2" hidden="1">#REF!</definedName>
    <definedName name="_fill3" hidden="1">#REF!</definedName>
    <definedName name="_fille" hidden="1">#REF!</definedName>
    <definedName name="_fills" hidden="1">#REF!</definedName>
    <definedName name="_xlnm._FilterDatabase" localSheetId="0" hidden="1">명세서_철거!$AI$1:$AI$69</definedName>
    <definedName name="_xlnm._FilterDatabase" localSheetId="1" hidden="1">증빙_철거!$R$1:$T$203</definedName>
    <definedName name="_xlnm._FilterDatabase" hidden="1">#REF!</definedName>
    <definedName name="_fiooe" hidden="1">#REF!</definedName>
    <definedName name="_fiqoek" hidden="1">#REF!</definedName>
    <definedName name="_fiqpziem" hidden="1">#REF!</definedName>
    <definedName name="_fjnfqip" hidden="1">#REF!</definedName>
    <definedName name="_fjowo" hidden="1">#REF!</definedName>
    <definedName name="_fkdfie3" hidden="1">#REF!</definedName>
    <definedName name="_fkefie" hidden="1">#REF!</definedName>
    <definedName name="_fkefilel" hidden="1">#REF!</definedName>
    <definedName name="_fkeifeil" hidden="1">#REF!</definedName>
    <definedName name="_fkekfe" hidden="1">#REF!</definedName>
    <definedName name="_fkldfifewo" hidden="1">#REF!</definedName>
    <definedName name="_fkvviil" hidden="1">#REF!</definedName>
    <definedName name="_fldflei" hidden="1">#REF!</definedName>
    <definedName name="_flelflei" hidden="1">#REF!</definedName>
    <definedName name="_flfilf" hidden="1">#REF!</definedName>
    <definedName name="_fll2" hidden="1">#REF!</definedName>
    <definedName name="_flle2i" hidden="1">#REF!</definedName>
    <definedName name="_floooccz" hidden="1">#REF!</definedName>
    <definedName name="_fmikill" hidden="1">#REF!</definedName>
    <definedName name="_fneflkef" hidden="1">#REF!</definedName>
    <definedName name="_foewoifoi" hidden="1">#REF!</definedName>
    <definedName name="_foieoeil" hidden="1">#REF!</definedName>
    <definedName name="_fpeepdck" hidden="1">#REF!</definedName>
    <definedName name="_fpefpeif" hidden="1">#REF!</definedName>
    <definedName name="_fpfpil" hidden="1">#REF!</definedName>
    <definedName name="_fpief" hidden="1">#REF!</definedName>
    <definedName name="_fqeoedl" hidden="1">#REF!</definedName>
    <definedName name="_fqiel22" hidden="1">#REF!</definedName>
    <definedName name="_fsreit" hidden="1">#REF!</definedName>
    <definedName name="_ftilg" hidden="1">#REF!</definedName>
    <definedName name="_fv990" hidden="1">#REF!</definedName>
    <definedName name="_fw90rw0e" hidden="1">#REF!</definedName>
    <definedName name="_fweisz" hidden="1">#REF!</definedName>
    <definedName name="_fwleil" hidden="1">#REF!</definedName>
    <definedName name="_fwlle2" hidden="1">#REF!</definedName>
    <definedName name="_fwoefoif" hidden="1">#REF!</definedName>
    <definedName name="_fzieoif" hidden="1">#REF!</definedName>
    <definedName name="_g2llil" hidden="1">#REF!</definedName>
    <definedName name="_gaile" hidden="1">#REF!</definedName>
    <definedName name="_geiaadl" hidden="1">#REF!</definedName>
    <definedName name="_geiggii" hidden="1">#REF!</definedName>
    <definedName name="_geiila" hidden="1">#REF!</definedName>
    <definedName name="_geild" hidden="1">#REF!</definedName>
    <definedName name="_geili" hidden="1">#REF!</definedName>
    <definedName name="_geill" hidden="1">#REF!</definedName>
    <definedName name="_geilzed" hidden="1">#REF!</definedName>
    <definedName name="_gerril" hidden="1">#REF!</definedName>
    <definedName name="_gfhoioi" hidden="1">#REF!</definedName>
    <definedName name="_GG1" hidden="1">{#N/A,#N/A,FALSE,"단가표지"}</definedName>
    <definedName name="_ggaile" hidden="1">#REF!</definedName>
    <definedName name="_ggg1" hidden="1">{#N/A,#N/A,FALSE,"갑지";#N/A,#N/A,FALSE,"개요";#N/A,#N/A,FALSE,"비목별";#N/A,#N/A,FALSE,"건물별";#N/A,#N/A,FALSE,"기구표";#N/A,#N/A,FALSE,"직원투입"}</definedName>
    <definedName name="_ghihil" hidden="1">#REF!</definedName>
    <definedName name="_gielzld" hidden="1">#REF!</definedName>
    <definedName name="_gierlaz" hidden="1">#REF!</definedName>
    <definedName name="_giigie" hidden="1">#REF!</definedName>
    <definedName name="_gill" hidden="1">#REF!</definedName>
    <definedName name="_gkjqi" hidden="1">#REF!</definedName>
    <definedName name="_gnandifi" hidden="1">#REF!</definedName>
    <definedName name="_gqill" hidden="1">#REF!</definedName>
    <definedName name="_hhill" hidden="1">#REF!</definedName>
    <definedName name="_hierl" hidden="1">#REF!</definedName>
    <definedName name="_hill" hidden="1">#REF!</definedName>
    <definedName name="_hollister" hidden="1">#REF!</definedName>
    <definedName name="_iceberg" hidden="1">#REF!</definedName>
    <definedName name="_iiieepp" hidden="1">#REF!</definedName>
    <definedName name="_iiildni" hidden="1">#REF!</definedName>
    <definedName name="_iiilel" hidden="1">#REF!</definedName>
    <definedName name="_iill" hidden="1">#REF!</definedName>
    <definedName name="_ikiidl" hidden="1">#REF!</definedName>
    <definedName name="_ilikilk" hidden="1">#REF!</definedName>
    <definedName name="_iofwwoi" hidden="1">#REF!</definedName>
    <definedName name="_ioioioo" hidden="1">#REF!</definedName>
    <definedName name="_ioiwey" hidden="1">#REF!</definedName>
    <definedName name="_ippipq" hidden="1">#REF!</definedName>
    <definedName name="_ixxidil" hidden="1">#REF!</definedName>
    <definedName name="_jill" hidden="1">#REF!</definedName>
    <definedName name="_KD2" hidden="1">#REF!</definedName>
    <definedName name="_KD3" hidden="1">#REF!</definedName>
    <definedName name="_kdfdsd" hidden="1">#REF!</definedName>
    <definedName name="_kdfflfe" hidden="1">#REF!</definedName>
    <definedName name="_kdfleof" hidden="1">#REF!</definedName>
    <definedName name="_kdfloi3" hidden="1">#REF!</definedName>
    <definedName name="_keeril" hidden="1">#REF!</definedName>
    <definedName name="_keoiewo" hidden="1">#REF!</definedName>
    <definedName name="_key01" hidden="1">#REF!</definedName>
    <definedName name="_key02" hidden="1">#REF!</definedName>
    <definedName name="_Key1" hidden="1">#REF!</definedName>
    <definedName name="_Key2" localSheetId="1" hidden="1">#REF!</definedName>
    <definedName name="_Key2" hidden="1">#REF!</definedName>
    <definedName name="_key21" hidden="1">#REF!</definedName>
    <definedName name="_Key3" hidden="1">#REF!</definedName>
    <definedName name="_kfkf" hidden="1">#REF!</definedName>
    <definedName name="_kill" hidden="1">#REF!</definedName>
    <definedName name="_KK2" hidden="1">#REF!</definedName>
    <definedName name="_KK3" hidden="1">#REF!</definedName>
    <definedName name="_kkiil" hidden="1">#REF!</definedName>
    <definedName name="_kkillli" hidden="1">#REF!</definedName>
    <definedName name="_kz1" hidden="1">#REF!</definedName>
    <definedName name="_kz2" hidden="1">#REF!</definedName>
    <definedName name="_kz3" hidden="1">#REF!</definedName>
    <definedName name="_kz4" hidden="1">#REF!</definedName>
    <definedName name="_kz5" hidden="1">#REF!</definedName>
    <definedName name="_kz6" hidden="1">#REF!</definedName>
    <definedName name="_kz7" hidden="1">#REF!</definedName>
    <definedName name="_kz8" hidden="1">#REF!</definedName>
    <definedName name="_levis" hidden="1">#REF!</definedName>
    <definedName name="_lielsz" hidden="1">#REF!</definedName>
    <definedName name="_lill" hidden="1">#REF!</definedName>
    <definedName name="_MatInverse_In" hidden="1">#REF!</definedName>
    <definedName name="_MatMult_A" hidden="1">#REF!</definedName>
    <definedName name="_MatMult_AxB" hidden="1">#REF!</definedName>
    <definedName name="_MatMult_B" hidden="1">#REF!</definedName>
    <definedName name="_mdidkl" hidden="1">#REF!</definedName>
    <definedName name="_mdiidld" hidden="1">#REF!</definedName>
    <definedName name="_mdill" hidden="1">#REF!</definedName>
    <definedName name="_mewowo" hidden="1">#REF!</definedName>
    <definedName name="_mfill" hidden="1">#REF!</definedName>
    <definedName name="_mgfill" hidden="1">#REF!</definedName>
    <definedName name="_mielel" hidden="1">#REF!</definedName>
    <definedName name="_miilelld" hidden="1">#REF!</definedName>
    <definedName name="_mill" hidden="1">#REF!</definedName>
    <definedName name="_mqdidl" hidden="1">#REF!</definedName>
    <definedName name="_naeil" hidden="1">#REF!</definedName>
    <definedName name="_naiel" hidden="1">#REF!</definedName>
    <definedName name="_naill" hidden="1">#REF!</definedName>
    <definedName name="_ncikl" hidden="1">#REF!</definedName>
    <definedName name="_ncr2" hidden="1">{#N/A,#N/A,FALSE,"현장 NCR 분석";#N/A,#N/A,FALSE,"현장품질감사";#N/A,#N/A,FALSE,"현장품질감사"}</definedName>
    <definedName name="_ndiel" hidden="1">#REF!</definedName>
    <definedName name="_ndill" hidden="1">#REF!</definedName>
    <definedName name="_ngsndi" hidden="1">#REF!</definedName>
    <definedName name="_nilei" hidden="1">#REF!</definedName>
    <definedName name="_nilief" hidden="1">#REF!</definedName>
    <definedName name="_nill" hidden="1">#REF!</definedName>
    <definedName name="_nsill" hidden="1">#REF!</definedName>
    <definedName name="_nsoidi" hidden="1">#REF!</definedName>
    <definedName name="_oill" hidden="1">#REF!</definedName>
    <definedName name="_oillu" hidden="1">#REF!</definedName>
    <definedName name="_Order1" localSheetId="0" hidden="1">255</definedName>
    <definedName name="_Order1" localSheetId="1" hidden="1">255</definedName>
    <definedName name="_Order1" hidden="1">0</definedName>
    <definedName name="_Order2" hidden="1">255</definedName>
    <definedName name="_ordr2" hidden="1">0</definedName>
    <definedName name="_ordwre2" hidden="1">0</definedName>
    <definedName name="_P3" hidden="1">{#N/A,#N/A,FALSE,"배수1"}</definedName>
    <definedName name="_P4" hidden="1">{#N/A,#N/A,FALSE,"혼합골재"}</definedName>
    <definedName name="_P5" hidden="1">{#N/A,#N/A,FALSE,"배수1"}</definedName>
    <definedName name="_P6" hidden="1">{#N/A,#N/A,FALSE,"2~8번"}</definedName>
    <definedName name="_paeil" hidden="1">#REF!</definedName>
    <definedName name="_paeilax" hidden="1">#REF!</definedName>
    <definedName name="_paielo" hidden="1">#REF!</definedName>
    <definedName name="_paiill" hidden="1">#REF!</definedName>
    <definedName name="_paile" hidden="1">#REF!</definedName>
    <definedName name="_paill" hidden="1">#REF!</definedName>
    <definedName name="_Parse_In" hidden="1">#REF!</definedName>
    <definedName name="_Parse_Out" hidden="1">#REF!</definedName>
    <definedName name="_pedill" hidden="1">#REF!</definedName>
    <definedName name="_peeil" hidden="1">#REF!</definedName>
    <definedName name="_pefpepf" hidden="1">#REF!</definedName>
    <definedName name="_pegrill" hidden="1">#REF!</definedName>
    <definedName name="_peill" hidden="1">#REF!</definedName>
    <definedName name="_peip" hidden="1">#REF!</definedName>
    <definedName name="_peoioep" hidden="1">#REF!</definedName>
    <definedName name="_pepck" hidden="1">#REF!</definedName>
    <definedName name="_pepckg" hidden="1">#REF!</definedName>
    <definedName name="_pepeoiio" hidden="1">#REF!</definedName>
    <definedName name="_perig" hidden="1">#REF!</definedName>
    <definedName name="_perriw" hidden="1">#REF!</definedName>
    <definedName name="_pew2l" hidden="1">#REF!</definedName>
    <definedName name="_pfil" hidden="1">#REF!</definedName>
    <definedName name="_phkdie" hidden="1">#REF!</definedName>
    <definedName name="_piagli" hidden="1">#REF!</definedName>
    <definedName name="_pie2" hidden="1">#REF!</definedName>
    <definedName name="_piepg" hidden="1">#REF!</definedName>
    <definedName name="_piewoeih" hidden="1">#REF!</definedName>
    <definedName name="_pill" hidden="1">#REF!</definedName>
    <definedName name="_pill22" hidden="1">#REF!</definedName>
    <definedName name="_pillz" hidden="1">#REF!</definedName>
    <definedName name="_pioea" hidden="1">#REF!</definedName>
    <definedName name="_piwoeill" hidden="1">#REF!</definedName>
    <definedName name="_pjkls" hidden="1">#REF!</definedName>
    <definedName name="_poeisz" hidden="1">#REF!</definedName>
    <definedName name="_poiee" hidden="1">#REF!</definedName>
    <definedName name="_poieez" hidden="1">#REF!</definedName>
    <definedName name="_poieezd" hidden="1">#REF!</definedName>
    <definedName name="_poieow" hidden="1">#REF!</definedName>
    <definedName name="_poill" hidden="1">#REF!</definedName>
    <definedName name="_poizei" hidden="1">#REF!</definedName>
    <definedName name="_poqieilz" hidden="1">#REF!</definedName>
    <definedName name="_POS1" hidden="1">{#N/A,#N/A,FALSE,"양식(을)"}</definedName>
    <definedName name="_ppill" hidden="1">#REF!</definedName>
    <definedName name="_pppeidi" hidden="1">#REF!</definedName>
    <definedName name="_ppqei" hidden="1">#REF!</definedName>
    <definedName name="_pqeiod" hidden="1">#REF!</definedName>
    <definedName name="_pqkslx" hidden="1">#REF!</definedName>
    <definedName name="_prada" hidden="1">#REF!</definedName>
    <definedName name="_psiddil" hidden="1">#REF!</definedName>
    <definedName name="_psill" hidden="1">#REF!</definedName>
    <definedName name="_q1" hidden="1">{"'Sheet1'!$A$4","'Sheet1'!$A$9:$G$28"}</definedName>
    <definedName name="_qa01" localSheetId="0" hidden="1">{#N/A,#N/A,FALSE,"2~8번"}</definedName>
    <definedName name="_qa01" hidden="1">{#N/A,#N/A,FALSE,"2~8번"}</definedName>
    <definedName name="_qa02" localSheetId="0" hidden="1">{#N/A,#N/A,FALSE,"골재소요량";#N/A,#N/A,FALSE,"골재소요량"}</definedName>
    <definedName name="_qa02" hidden="1">{#N/A,#N/A,FALSE,"골재소요량";#N/A,#N/A,FALSE,"골재소요량"}</definedName>
    <definedName name="_qa03" localSheetId="0" hidden="1">{#N/A,#N/A,FALSE,"구조2"}</definedName>
    <definedName name="_qa03" hidden="1">{#N/A,#N/A,FALSE,"구조2"}</definedName>
    <definedName name="_qa04" localSheetId="0" hidden="1">{#N/A,#N/A,FALSE,"단가표지"}</definedName>
    <definedName name="_qa04" hidden="1">{#N/A,#N/A,FALSE,"단가표지"}</definedName>
    <definedName name="_qa05" localSheetId="0" hidden="1">{#N/A,#N/A,FALSE,"배수1"}</definedName>
    <definedName name="_qa05" hidden="1">{#N/A,#N/A,FALSE,"배수1"}</definedName>
    <definedName name="_qa06" localSheetId="0" hidden="1">{#N/A,#N/A,FALSE,"배수2"}</definedName>
    <definedName name="_qa06" hidden="1">{#N/A,#N/A,FALSE,"배수2"}</definedName>
    <definedName name="_qa07" localSheetId="0" hidden="1">{#N/A,#N/A,FALSE,"부대1"}</definedName>
    <definedName name="_qa07" hidden="1">{#N/A,#N/A,FALSE,"부대1"}</definedName>
    <definedName name="_qa08" localSheetId="0" hidden="1">{#N/A,#N/A,FALSE,"부대2"}</definedName>
    <definedName name="_qa08" hidden="1">{#N/A,#N/A,FALSE,"부대2"}</definedName>
    <definedName name="_qa10" localSheetId="0" hidden="1">{#N/A,#N/A,FALSE,"속도"}</definedName>
    <definedName name="_qa10" hidden="1">{#N/A,#N/A,FALSE,"속도"}</definedName>
    <definedName name="_qa11" localSheetId="0" hidden="1">{#N/A,#N/A,FALSE,"운반시간"}</definedName>
    <definedName name="_qa11" hidden="1">{#N/A,#N/A,FALSE,"운반시간"}</definedName>
    <definedName name="_qa12" localSheetId="0" hidden="1">{#N/A,#N/A,FALSE,"이정표"}</definedName>
    <definedName name="_qa12" hidden="1">{#N/A,#N/A,FALSE,"이정표"}</definedName>
    <definedName name="_qa13" localSheetId="0" hidden="1">{#N/A,#N/A,FALSE,"조골재"}</definedName>
    <definedName name="_qa13" hidden="1">{#N/A,#N/A,FALSE,"조골재"}</definedName>
    <definedName name="_qa14" localSheetId="0" hidden="1">{#N/A,#N/A,FALSE,"구조1"}</definedName>
    <definedName name="_qa14" hidden="1">{#N/A,#N/A,FALSE,"구조1"}</definedName>
    <definedName name="_qa15" localSheetId="0" hidden="1">{#N/A,#N/A,FALSE,"토공2"}</definedName>
    <definedName name="_qa15" hidden="1">{#N/A,#N/A,FALSE,"토공2"}</definedName>
    <definedName name="_qa16" localSheetId="0" hidden="1">{#N/A,#N/A,FALSE,"포장1";#N/A,#N/A,FALSE,"포장1"}</definedName>
    <definedName name="_qa16" hidden="1">{#N/A,#N/A,FALSE,"포장1";#N/A,#N/A,FALSE,"포장1"}</definedName>
    <definedName name="_qa17" localSheetId="0" hidden="1">{#N/A,#N/A,FALSE,"포장2"}</definedName>
    <definedName name="_qa17" hidden="1">{#N/A,#N/A,FALSE,"포장2"}</definedName>
    <definedName name="_qa18" localSheetId="0" hidden="1">{#N/A,#N/A,FALSE,"표지목차"}</definedName>
    <definedName name="_qa18" hidden="1">{#N/A,#N/A,FALSE,"표지목차"}</definedName>
    <definedName name="_qa19" localSheetId="0" hidden="1">{#N/A,#N/A,FALSE,"혼합골재"}</definedName>
    <definedName name="_qa19" hidden="1">{#N/A,#N/A,FALSE,"혼합골재"}</definedName>
    <definedName name="_qa20" localSheetId="0" hidden="1">{#N/A,#N/A,FALSE,"운반시간"}</definedName>
    <definedName name="_qa20" hidden="1">{#N/A,#N/A,FALSE,"운반시간"}</definedName>
    <definedName name="_qadif" hidden="1">#REF!</definedName>
    <definedName name="_qdazil" hidden="1">#REF!</definedName>
    <definedName name="_qeewii" hidden="1">#REF!</definedName>
    <definedName name="_qfjfjfep" hidden="1">#REF!</definedName>
    <definedName name="_qieox" hidden="1">#REF!</definedName>
    <definedName name="_qill" hidden="1">#REF!</definedName>
    <definedName name="_qixln" hidden="1">#REF!</definedName>
    <definedName name="_qkiidl" hidden="1">#REF!</definedName>
    <definedName name="_qkzkl" hidden="1">#REF!</definedName>
    <definedName name="_qlzidle" hidden="1">#REF!</definedName>
    <definedName name="_qpdieez" hidden="1">#REF!</definedName>
    <definedName name="_qpei" hidden="1">#REF!</definedName>
    <definedName name="_qpeozkd" hidden="1">#REF!</definedName>
    <definedName name="_qpfife" hidden="1">#REF!</definedName>
    <definedName name="_qpsm" hidden="1">#REF!</definedName>
    <definedName name="_qpxoe" hidden="1">#REF!</definedName>
    <definedName name="_QQ1" localSheetId="0" hidden="1">{#N/A,#N/A,FALSE,"단가표지"}</definedName>
    <definedName name="_QQ1" hidden="1">{#N/A,#N/A,FALSE,"단가표지"}</definedName>
    <definedName name="_qqeils" hidden="1">#REF!</definedName>
    <definedName name="_QW1" localSheetId="0" hidden="1">{#N/A,#N/A,FALSE,"단가표지"}</definedName>
    <definedName name="_QW1" hidden="1">{#N/A,#N/A,FALSE,"단가표지"}</definedName>
    <definedName name="_qw2" hidden="1">{#N/A,#N/A,TRUE,"단가표지"}</definedName>
    <definedName name="_qx1" localSheetId="0" hidden="1">{#N/A,#N/A,FALSE,"운반시간"}</definedName>
    <definedName name="_qx1" hidden="1">{#N/A,#N/A,FALSE,"운반시간"}</definedName>
    <definedName name="_Regression_Int" hidden="1">1</definedName>
    <definedName name="_Regression_Out" hidden="1">#REF!</definedName>
    <definedName name="_Regression_X" hidden="1">#REF!</definedName>
    <definedName name="_Regression_Y" hidden="1">#REF!</definedName>
    <definedName name="_reirelfel" hidden="1">#REF!</definedName>
    <definedName name="_reiril" hidden="1">#REF!</definedName>
    <definedName name="_riel" hidden="1">#REF!</definedName>
    <definedName name="_rill" hidden="1">#REF!</definedName>
    <definedName name="_riririel" hidden="1">#REF!</definedName>
    <definedName name="_S3" hidden="1">{#N/A,#N/A,FALSE,"포장2"}</definedName>
    <definedName name="_seiell2" hidden="1">#REF!</definedName>
    <definedName name="_sfd33" hidden="1">#REF!</definedName>
    <definedName name="_sfile" hidden="1">#REF!</definedName>
    <definedName name="_sieieildl" hidden="1">#REF!</definedName>
    <definedName name="_sieisl" hidden="1">#REF!</definedName>
    <definedName name="_sill" hidden="1">#REF!</definedName>
    <definedName name="_sill2" hidden="1">#REF!</definedName>
    <definedName name="_sldilw" hidden="1">#REF!</definedName>
    <definedName name="_soiwill" hidden="1">#REF!</definedName>
    <definedName name="_Sort" localSheetId="1" hidden="1">#REF!</definedName>
    <definedName name="_Sort" hidden="1">#REF!</definedName>
    <definedName name="_SORT1" hidden="1">#REF!</definedName>
    <definedName name="_Sortt" hidden="1">#REF!</definedName>
    <definedName name="_SS1" localSheetId="0" hidden="1">{#N/A,#N/A,FALSE,"운반시간"}</definedName>
    <definedName name="_SS1" hidden="1">{#N/A,#N/A,FALSE,"운반시간"}</definedName>
    <definedName name="_ssoeoiif2" hidden="1">#REF!</definedName>
    <definedName name="_SUM1" hidden="1">{#N/A,#N/A,FALSE,"단축1";#N/A,#N/A,FALSE,"단축2";#N/A,#N/A,FALSE,"단축3";#N/A,#N/A,FALSE,"장축";#N/A,#N/A,FALSE,"4WD"}</definedName>
    <definedName name="_Table1_In1" hidden="1">#REF!</definedName>
    <definedName name="_Table1_Out" localSheetId="1" hidden="1">#REF!</definedName>
    <definedName name="_Table1_Out" hidden="1">#REF!</definedName>
    <definedName name="_TT3" hidden="1">{#N/A,#N/A,FALSE,"현장 NCR 분석";#N/A,#N/A,FALSE,"현장품질감사";#N/A,#N/A,FALSE,"현장품질감사"}</definedName>
    <definedName name="_uaiellis2" hidden="1">#REF!</definedName>
    <definedName name="_uaill" hidden="1">#REF!</definedName>
    <definedName name="_udfill" hidden="1">#REF!</definedName>
    <definedName name="_udifildlif" hidden="1">#REF!</definedName>
    <definedName name="_udill" hidden="1">#REF!</definedName>
    <definedName name="_ueiic" hidden="1">#REF!</definedName>
    <definedName name="_uiel" hidden="1">#REF!</definedName>
    <definedName name="_uil3" hidden="1">#REF!</definedName>
    <definedName name="_uilel" hidden="1">#REF!</definedName>
    <definedName name="_uill" hidden="1">#REF!</definedName>
    <definedName name="_usieilldi" hidden="1">#REF!</definedName>
    <definedName name="_usill" hidden="1">#REF!</definedName>
    <definedName name="_uuill" hidden="1">#REF!</definedName>
    <definedName name="_uweil" hidden="1">#REF!</definedName>
    <definedName name="_vaidlif" hidden="1">#REF!</definedName>
    <definedName name="_vaiilld" hidden="1">#REF!</definedName>
    <definedName name="_vaill" hidden="1">#REF!</definedName>
    <definedName name="_vcvfddfl" hidden="1">#REF!</definedName>
    <definedName name="_veail" hidden="1">#REF!</definedName>
    <definedName name="_veil" hidden="1">#REF!</definedName>
    <definedName name="_vfdifdl" hidden="1">#REF!</definedName>
    <definedName name="_vfdill" hidden="1">#REF!</definedName>
    <definedName name="_vfdilla" hidden="1">#REF!</definedName>
    <definedName name="_vholi" hidden="1">#REF!</definedName>
    <definedName name="_vidoifio" hidden="1">#REF!</definedName>
    <definedName name="_vieldc" hidden="1">#REF!</definedName>
    <definedName name="_vielsl" hidden="1">#REF!</definedName>
    <definedName name="_viileled" hidden="1">#REF!</definedName>
    <definedName name="_vill" hidden="1">#REF!</definedName>
    <definedName name="_vorefoieoo" hidden="1">#REF!</definedName>
    <definedName name="_vvill" hidden="1">#REF!</definedName>
    <definedName name="_W1" hidden="1">{#N/A,#N/A,FALSE,"2~8번"}</definedName>
    <definedName name="_wawaoq" hidden="1">#REF!</definedName>
    <definedName name="_wcidl" hidden="1">#REF!</definedName>
    <definedName name="_wdfill" hidden="1">#REF!</definedName>
    <definedName name="_wdill" hidden="1">#REF!</definedName>
    <definedName name="_weidl" hidden="1">#REF!</definedName>
    <definedName name="_weilg" hidden="1">#REF!</definedName>
    <definedName name="_weill" hidden="1">#REF!</definedName>
    <definedName name="_weiweio" hidden="1">#REF!</definedName>
    <definedName name="_wer434" hidden="1">#REF!</definedName>
    <definedName name="_widifl" hidden="1">#REF!</definedName>
    <definedName name="_wielx" hidden="1">#REF!</definedName>
    <definedName name="_wilil" hidden="1">#REF!</definedName>
    <definedName name="_will" hidden="1">#REF!</definedName>
    <definedName name="_wille" hidden="1">#REF!</definedName>
    <definedName name="_woeirool" hidden="1">#REF!</definedName>
    <definedName name="_woogi" hidden="1">#REF!</definedName>
    <definedName name="_woogi2" hidden="1">#REF!</definedName>
    <definedName name="_woogi24" hidden="1">#REF!</definedName>
    <definedName name="_woogi3" hidden="1">#REF!</definedName>
    <definedName name="_wsddd" hidden="1">#REF!</definedName>
    <definedName name="_wsill" hidden="1">#REF!</definedName>
    <definedName name="_wwowwo" hidden="1">#REF!</definedName>
    <definedName name="_wwwoz" hidden="1">#REF!</definedName>
    <definedName name="_xaill" hidden="1">#REF!</definedName>
    <definedName name="_xcill" hidden="1">#REF!</definedName>
    <definedName name="_xewail" hidden="1">#REF!</definedName>
    <definedName name="_xidilal" hidden="1">#REF!</definedName>
    <definedName name="_xill" hidden="1">#REF!</definedName>
    <definedName name="_xisi" hidden="1">#REF!</definedName>
    <definedName name="_xxasidl" hidden="1">#REF!</definedName>
    <definedName name="_xxdil" hidden="1">#REF!</definedName>
    <definedName name="_xxill" hidden="1">#REF!</definedName>
    <definedName name="_xzasdl" hidden="1">#REF!</definedName>
    <definedName name="_xzsidl" hidden="1">#REF!</definedName>
    <definedName name="_yill" hidden="1">#REF!</definedName>
    <definedName name="_yyill" hidden="1">#REF!</definedName>
    <definedName name="_zaill" hidden="1">#REF!</definedName>
    <definedName name="_zassaza" hidden="1">#REF!</definedName>
    <definedName name="_zceil" hidden="1">#REF!</definedName>
    <definedName name="_zeilaw" hidden="1">#REF!</definedName>
    <definedName name="_zill" hidden="1">#REF!</definedName>
    <definedName name="_ziwi" hidden="1">#REF!</definedName>
    <definedName name="_zpj" hidden="1">#REF!</definedName>
    <definedName name="_zpmei2" hidden="1">#REF!</definedName>
    <definedName name="_zpzpzp" hidden="1">#REF!</definedName>
    <definedName name="_zzal" hidden="1">#REF!</definedName>
    <definedName name="_zzall" hidden="1">#REF!</definedName>
    <definedName name="_zzidy" hidden="1">#REF!</definedName>
    <definedName name="_zzill" hidden="1">#REF!</definedName>
    <definedName name="_zzzail" hidden="1">#REF!</definedName>
    <definedName name="_노임단가" hidden="1">#REF!</definedName>
    <definedName name="_재ㅐ햐" hidden="1">#REF!</definedName>
    <definedName name="A1_00근거" hidden="1">{#N/A,#N/A,FALSE,"단축1";#N/A,#N/A,FALSE,"단축2";#N/A,#N/A,FALSE,"단축3";#N/A,#N/A,FALSE,"장축";#N/A,#N/A,FALSE,"4WD"}</definedName>
    <definedName name="A1C1" hidden="1">#REF!</definedName>
    <definedName name="A32Q" hidden="1">{#N/A,#N/A,FALSE,"표지목차"}</definedName>
    <definedName name="aaa" hidden="1">#REF!</definedName>
    <definedName name="aaa_1" hidden="1">{#N/A,#N/A,FALSE,"속도"}</definedName>
    <definedName name="AAAA" hidden="1">#REF!</definedName>
    <definedName name="aaaaa" hidden="1">{#N/A,#N/A,FALSE,"조골재"}</definedName>
    <definedName name="aaaaaa" hidden="1">{#N/A,#N/A,FALSE,"속도"}</definedName>
    <definedName name="aaaaaaaaaa" hidden="1">{#N/A,#N/A,FALSE,"운반시간"}</definedName>
    <definedName name="AAAAAAAAAAAAAAAAA" hidden="1">{#N/A,#N/A,FALSE,"배수2"}</definedName>
    <definedName name="aaaaaaaaaaaaaaaaaaaa" hidden="1">#REF!</definedName>
    <definedName name="aaabbb" hidden="1">{#N/A,#N/A,FALSE,"이정표"}</definedName>
    <definedName name="aaas" hidden="1">#REF!</definedName>
    <definedName name="abb" hidden="1">{#N/A,#N/A,FALSE,"2~8번"}</definedName>
    <definedName name="ACB" hidden="1">{#N/A,#N/A,FALSE,"단축1";#N/A,#N/A,FALSE,"단축2";#N/A,#N/A,FALSE,"단축3";#N/A,#N/A,FALSE,"장축";#N/A,#N/A,FALSE,"4WD"}</definedName>
    <definedName name="Access_Button" hidden="1">"INN_어음지급현황_List"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"c:\wiz32\xl\acclink.mdb"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A" hidden="1">#REF!</definedName>
    <definedName name="ACwvu.매출입." hidden="1">#REF!</definedName>
    <definedName name="ACX" hidden="1">#REF!</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a"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C" hidden="1">#REF!</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egfv" hidden="1">#REF!</definedName>
    <definedName name="ADFF" hidden="1">#REF!</definedName>
    <definedName name="adfgh" hidden="1">#REF!</definedName>
    <definedName name="adfvvv" localSheetId="0" hidden="1">{"'Firr(선)'!$AS$1:$AY$62","'Firr(사)'!$AS$1:$AY$62","'Firr(회)'!$AS$1:$AY$62","'Firr(선)'!$L$1:$V$62","'Firr(사)'!$L$1:$V$62","'Firr(회)'!$L$1:$V$62"}</definedName>
    <definedName name="adfvvv" hidden="1">{"'Firr(선)'!$AS$1:$AY$62","'Firr(사)'!$AS$1:$AY$62","'Firr(회)'!$AS$1:$AY$62","'Firr(선)'!$L$1:$V$62","'Firr(사)'!$L$1:$V$62","'Firr(회)'!$L$1:$V$62"}</definedName>
    <definedName name="ADSDF" hidden="1">{#N/A,#N/A,TRUE,"Y생산";#N/A,#N/A,TRUE,"Y판매";#N/A,#N/A,TRUE,"Y총물량";#N/A,#N/A,TRUE,"Y능력";#N/A,#N/A,TRUE,"YKD"}</definedName>
    <definedName name="ADSFDSF" hidden="1">#REF!</definedName>
    <definedName name="ADSFFDS" hidden="1">#REF!</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d" localSheetId="0" hidden="1">{#N/A,#N/A,FALSE,"현장 NCR 분석";#N/A,#N/A,FALSE,"현장품질감사";#N/A,#N/A,FALSE,"현장품질감사"}</definedName>
    <definedName name="aed" hidden="1">{#N/A,#N/A,FALSE,"현장 NCR 분석";#N/A,#N/A,FALSE,"현장품질감사";#N/A,#N/A,FALSE,"현장품질감사"}</definedName>
    <definedName name="AEFWTWRWE" hidden="1">{#N/A,#N/A,FALSE,"배수1"}</definedName>
    <definedName name="a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AFA" hidden="1">{#N/A,#N/A,FALSE,"부대1"}</definedName>
    <definedName name="afasd" hidden="1">{#N/A,#N/A,FALSE,"단가표지"}</definedName>
    <definedName name="AFASFAS" hidden="1">{#N/A,#N/A,FALSE,"조골재"}</definedName>
    <definedName name="AFD" hidden="1">#REF!</definedName>
    <definedName name="AFDFD" hidden="1">#REF!</definedName>
    <definedName name="AFDSFDSFDSAF" hidden="1">{#N/A,#N/A,FALSE,"혼합골재"}</definedName>
    <definedName name="afdsfsa" hidden="1">{#N/A,#N/A,FALSE,"배수2"}</definedName>
    <definedName name="AFDSFSADFSA" hidden="1">{#N/A,#N/A,FALSE,"토공2"}</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FFFFFFFFFFFFF" hidden="1">{#N/A,#N/A,FALSE,"단가표지"}</definedName>
    <definedName name="AFSAFS" hidden="1">{#N/A,#N/A,FALSE,"표지목차"}</definedName>
    <definedName name="AFSAFSA" hidden="1">{#N/A,#N/A,FALSE,"이정표"}</definedName>
    <definedName name="AFSAFSAF" hidden="1">{#N/A,#N/A,FALSE,"운반시간"}</definedName>
    <definedName name="AFSDAFSA" hidden="1">{#N/A,#N/A,FALSE,"속도"}</definedName>
    <definedName name="AFSSAFSAFSAFSAFSAD" hidden="1">{#N/A,#N/A,FALSE,"배수1"}</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DFSFDG" hidden="1">{#N/A,#N/A,FALSE,"전력간선"}</definedName>
    <definedName name="ahdsjd" localSheetId="0" hidden="1">{#N/A,#N/A,FALSE,"현장 NCR 분석";#N/A,#N/A,FALSE,"현장품질감사";#N/A,#N/A,FALSE,"현장품질감사"}</definedName>
    <definedName name="ahdsjd" hidden="1">{#N/A,#N/A,FALSE,"현장 NCR 분석";#N/A,#N/A,FALSE,"현장품질감사";#N/A,#N/A,FALSE,"현장품질감사"}</definedName>
    <definedName name="AHF" hidden="1">#REF!</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wef" hidden="1">{#N/A,#N/A,FALSE,"골재소요량";#N/A,#N/A,FALSE,"골재소요량"}</definedName>
    <definedName name="ak" hidden="1">#REF!</definedName>
    <definedName name="akrka123" hidden="1">{#N/A,#N/A,TRUE,"Y생산";#N/A,#N/A,TRUE,"Y판매";#N/A,#N/A,TRUE,"Y총물량";#N/A,#N/A,TRUE,"Y능력";#N/A,#N/A,TRUE,"YKD"}</definedName>
    <definedName name="alslsdkjfjs" hidden="1">#REF!</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scount" hidden="1">1</definedName>
    <definedName name="AQP" hidden="1">{#N/A,#N/A,FALSE,"96 3월물량표";#N/A,#N/A,FALSE,"96 4월물량표";#N/A,#N/A,FALSE,"96 5월물량표"}</definedName>
    <definedName name="AREA0002" hidden="1">#REF!</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 localSheetId="0" hidden="1">#REF!</definedName>
    <definedName name="AS" hidden="1">{#N/A,#N/A,FALSE,"CAM-G7";#N/A,#N/A,FALSE,"SPL";#N/A,#N/A,FALSE,"butt-in G7";#N/A,#N/A,FALSE,"dia-in G7";#N/A,#N/A,FALSE,"추가-STA G7"}</definedName>
    <definedName name="AS2DocOpenMode" hidden="1">"AS2DocumentBrowse"</definedName>
    <definedName name="asasssf" hidden="1">{#N/A,#N/A,FALSE,"골재소요량";#N/A,#N/A,FALSE,"골재소요량"}</definedName>
    <definedName name="ASC" hidden="1">#REF!</definedName>
    <definedName name="ASD" hidden="1">#N/A</definedName>
    <definedName name="asdf" hidden="1">#N/A</definedName>
    <definedName name="asdfasdfasdfasfcasx" localSheetId="0" hidden="1">#REF!</definedName>
    <definedName name="asdfasdfasdfasfcasx" hidden="1">#REF!</definedName>
    <definedName name="ASDFFD" hidden="1">#REF!</definedName>
    <definedName name="asdfgs" hidden="1">{#N/A,#N/A,FALSE,"단가표지"}</definedName>
    <definedName name="ASF" hidden="1">{#N/A,#N/A,FALSE,"2~8번"}</definedName>
    <definedName name="asfas" hidden="1">{#N/A,#N/A,FALSE,"표지목차"}</definedName>
    <definedName name="asfas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FGFGHJ" hidden="1">"CK-A2차정산내역서"</definedName>
    <definedName name="ASFSA" hidden="1">{#N/A,#N/A,FALSE,"포장1";#N/A,#N/A,FALSE,"포장1"}</definedName>
    <definedName name="ASFSADFSAFSA" hidden="1">{#N/A,#N/A,FALSE,"부대2"}</definedName>
    <definedName name="ASFSADFSDGAFDSAF" hidden="1">{#N/A,#N/A,FALSE,"2~8번"}</definedName>
    <definedName name="ASFSAFAS" hidden="1">{#N/A,#N/A,FALSE,"2~8번"}</definedName>
    <definedName name="ASFSAFASFSA" hidden="1">{#N/A,#N/A,FALSE,"혼합골재"}</definedName>
    <definedName name="ASFSAFSA" hidden="1">{#N/A,#N/A,FALSE,"혼합골재"}</definedName>
    <definedName name="ASFSDAFSAF" hidden="1">{#N/A,#N/A,FALSE,"표지목차"}</definedName>
    <definedName name="ASFSDFSDFSAD" hidden="1">{#N/A,#N/A,FALSE,"2~8번"}</definedName>
    <definedName name="asfwe" localSheetId="0" hidden="1">{"'Firr(선)'!$AS$1:$AY$62","'Firr(사)'!$AS$1:$AY$62","'Firr(회)'!$AS$1:$AY$62","'Firr(선)'!$L$1:$V$62","'Firr(사)'!$L$1:$V$62","'Firr(회)'!$L$1:$V$62"}</definedName>
    <definedName name="asfwe" hidden="1">{"'Firr(선)'!$AS$1:$AY$62","'Firr(사)'!$AS$1:$AY$62","'Firr(회)'!$AS$1:$AY$62","'Firr(선)'!$L$1:$V$62","'Firr(사)'!$L$1:$V$62","'Firr(회)'!$L$1:$V$62"}</definedName>
    <definedName name="asgasgasfsda" hidden="1">{#N/A,#N/A,FALSE,"2~8번"}</definedName>
    <definedName name="asgf" localSheetId="0" hidden="1">#REF!</definedName>
    <definedName name="ASGF" hidden="1">{#N/A,#N/A,FALSE,"2~8번"}</definedName>
    <definedName name="ass" hidden="1">{#N/A,#N/A,FALSE,"명세표"}</definedName>
    <definedName name="ASXVC" hidden="1">{"'Sheet1'!$A$4","'Sheet1'!$A$9:$G$28"}</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WEGAWEG" hidden="1">#REF!</definedName>
    <definedName name="awer" localSheetId="0" hidden="1">{"'Firr(선)'!$AS$1:$AY$62","'Firr(사)'!$AS$1:$AY$62","'Firr(회)'!$AS$1:$AY$62","'Firr(선)'!$L$1:$V$62","'Firr(사)'!$L$1:$V$62","'Firr(회)'!$L$1:$V$62"}</definedName>
    <definedName name="awer" hidden="1">{"'Firr(선)'!$AS$1:$AY$62","'Firr(사)'!$AS$1:$AY$62","'Firr(회)'!$AS$1:$AY$62","'Firr(선)'!$L$1:$V$62","'Firr(사)'!$L$1:$V$62","'Firr(회)'!$L$1:$V$62"}</definedName>
    <definedName name="AWG" hidden="1">#REF!</definedName>
    <definedName name="AWGRA" hidden="1">#REF!</definedName>
    <definedName name="AWGRWGAW" hidden="1">#REF!</definedName>
    <definedName name="b" hidden="1">{#N/A,#N/A,FALSE,"단면 제원"}</definedName>
    <definedName name="baefads" hidden="1">{#N/A,#N/A,FALSE,"골재소요량";#N/A,#N/A,FALSE,"골재소요량"}</definedName>
    <definedName name="BAFDA" hidden="1">{#N/A,#N/A,FALSE,"골재소요량";#N/A,#N/A,FALSE,"골재소요량"}</definedName>
    <definedName name="basf" hidden="1">{#N/A,#N/A,FALSE,"속도"}</definedName>
    <definedName name="baweds" hidden="1">{#N/A,#N/A,FALSE,"2~8번"}</definedName>
    <definedName name="bb" hidden="1">#REF!</definedName>
    <definedName name="bbb" hidden="1">{#N/A,#N/A,FALSE,"단면 제원"}</definedName>
    <definedName name="BBBB" hidden="1">#REF!</definedName>
    <definedName name="BHE" hidden="1">{#N/A,#N/A,FALSE,"조골재"}</definedName>
    <definedName name="BI" hidden="1">{#N/A,#N/A,FALSE,"이태원철근"}</definedName>
    <definedName name="BM" hidden="1">#REF!</definedName>
    <definedName name="bms" hidden="1">#REF!</definedName>
    <definedName name="bnn" localSheetId="0" hidden="1">{#N/A,#N/A,FALSE,"조골재"}</definedName>
    <definedName name="bnn" hidden="1">{#N/A,#N/A,FALSE,"조골재"}</definedName>
    <definedName name="book1" hidden="1">{#N/A,#N/A,TRUE,"Y생산";#N/A,#N/A,TRUE,"Y판매";#N/A,#N/A,TRUE,"Y총물량";#N/A,#N/A,TRUE,"Y능력";#N/A,#N/A,TRUE,"YKD"}</definedName>
    <definedName name="BOOK2" hidden="1">{#N/A,#N/A,TRUE,"손익보고"}</definedName>
    <definedName name="BOXXX" hidden="1">#REF!</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dcd" hidden="1">#REF!</definedName>
    <definedName name="CFGJY" hidden="1">{#N/A,#N/A,FALSE,"혼합골재"}</definedName>
    <definedName name="CGH" hidden="1">{#N/A,#N/A,FALSE,"표지목차"}</definedName>
    <definedName name="CHLWHD" hidden="1">{#N/A,#N/A,FALSE,"갑지";#N/A,#N/A,FALSE,"개요";#N/A,#N/A,FALSE,"비목별";#N/A,#N/A,FALSE,"건물별";#N/A,#N/A,FALSE,"기구표";#N/A,#N/A,FALSE,"직원투입"}</definedName>
    <definedName name="cka" hidden="1">{#N/A,#N/A,FALSE,"운반시간"}</definedName>
    <definedName name="cm철골공사시방서" hidden="1">{#N/A,#N/A,FALSE,"현장 NCR 분석";#N/A,#N/A,FALSE,"현장품질감사";#N/A,#N/A,FALSE,"현장품질감사"}</definedName>
    <definedName name="COPY" hidden="1">{#N/A,#N/A,FALSE,"CCTV"}</definedName>
    <definedName name="COST" hidden="1">#REF!</definedName>
    <definedName name="COSTT" hidden="1">#REF!</definedName>
    <definedName name="cxee" localSheetId="0" hidden="1">{"'Firr(선)'!$AS$1:$AY$62","'Firr(사)'!$AS$1:$AY$62","'Firr(회)'!$AS$1:$AY$62","'Firr(선)'!$L$1:$V$62","'Firr(사)'!$L$1:$V$62","'Firr(회)'!$L$1:$V$62"}</definedName>
    <definedName name="cxee" hidden="1">{"'Firr(선)'!$AS$1:$AY$62","'Firr(사)'!$AS$1:$AY$62","'Firr(회)'!$AS$1:$AY$62","'Firr(선)'!$L$1:$V$62","'Firr(사)'!$L$1:$V$62","'Firr(회)'!$L$1:$V$62"}</definedName>
    <definedName name="cxzbhvc" hidden="1">{#N/A,#N/A,FALSE,"현장 NCR 분석";#N/A,#N/A,FALSE,"현장품질감사";#N/A,#N/A,FALSE,"현장품질감사"}</definedName>
    <definedName name="D" hidden="1">{#N/A,#N/A,TRUE,"토적및재료집계";#N/A,#N/A,TRUE,"토적및재료집계";#N/A,#N/A,TRUE,"단위량"}</definedName>
    <definedName name="dasdf" hidden="1">{#N/A,#N/A,FALSE,"골재소요량";#N/A,#N/A,FALSE,"골재소요량"}</definedName>
    <definedName name="dasf" hidden="1">{#N/A,#N/A,FALSE,"구조2"}</definedName>
    <definedName name="dataww" hidden="1">#REF!</definedName>
    <definedName name="DBBTY" hidden="1">{#N/A,#N/A,FALSE,"혼합골재"}</definedName>
    <definedName name="DD" hidden="1">#REF!</definedName>
    <definedName name="DDAFASDFSD" hidden="1">{#N/A,#N/A,FALSE,"Sheet1"}</definedName>
    <definedName name="ddd" hidden="1">{#N/A,#N/A,FALSE,"단면 제원"}</definedName>
    <definedName name="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 localSheetId="0" hidden="1">#REF!</definedName>
    <definedName name="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0" hidden="1">{"'중기작업1'!$A$1:$V$18"}</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wwwwdddd" hidden="1">#REF!</definedName>
    <definedName name="dddh" hidden="1">{#N/A,#N/A,FALSE,"운반시간"}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r" hidden="1">#REF!</definedName>
    <definedName name="ded" hidden="1">{#N/A,#N/A,FALSE,"골재소요량";#N/A,#N/A,FALSE,"골재소요량"}</definedName>
    <definedName name="DEDED" hidden="1">#REF!</definedName>
    <definedName name="DEKFJELK444" hidden="1">#REF!</definedName>
    <definedName name="derwr" localSheetId="0" hidden="1">{"'Firr(선)'!$AS$1:$AY$62","'Firr(사)'!$AS$1:$AY$62","'Firr(회)'!$AS$1:$AY$62","'Firr(선)'!$L$1:$V$62","'Firr(사)'!$L$1:$V$62","'Firr(회)'!$L$1:$V$62"}</definedName>
    <definedName name="derwr" hidden="1">{"'Firr(선)'!$AS$1:$AY$62","'Firr(사)'!$AS$1:$AY$62","'Firr(회)'!$AS$1:$AY$62","'Firr(선)'!$L$1:$V$62","'Firr(사)'!$L$1:$V$62","'Firr(회)'!$L$1:$V$62"}</definedName>
    <definedName name="DFAS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ASDF" hidden="1">#REF!</definedName>
    <definedName name="DFASFD" hidden="1">{#N/A,#N/A,FALSE,"골재소요량";#N/A,#N/A,FALSE,"골재소요량"}</definedName>
    <definedName name="DFBGHE" hidden="1">{#N/A,#N/A,FALSE,"골재소요량";#N/A,#N/A,FALSE,"골재소요량"}</definedName>
    <definedName name="DFDASFGDASG" hidden="1">{#N/A,#N/A,FALSE,"단가표지"}</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df" localSheetId="0" hidden="1">{#N/A,#N/A,FALSE,"조골재"}</definedName>
    <definedName name="DFDFDF" hidden="1">{#N/A,#N/A,FALSE,"단가표지"}</definedName>
    <definedName name="DFDSADFADSF" hidden="1">{#N/A,#N/A,FALSE,"2~8번"}</definedName>
    <definedName name="dfdsa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SAFDFD" hidden="1">{#N/A,#N/A,FALSE,"부대1"}</definedName>
    <definedName name="DFDSAFSFG" hidden="1">{#N/A,#N/A,FALSE,"구조2"}</definedName>
    <definedName name="DFDSAGFDSAG" hidden="1">{#N/A,#N/A,FALSE,"혼합골재"}</definedName>
    <definedName name="DFDSFD" hidden="1">{#N/A,#N/A,FALSE,"속도"}</definedName>
    <definedName name="DFDSFDFDFD" hidden="1">{#N/A,#N/A,FALSE,"구조1"}</definedName>
    <definedName name="DFDSFDS" hidden="1">{#N/A,#N/A,FALSE,"부대2"}</definedName>
    <definedName name="dfdsfs" hidden="1">{#N/A,#N/A,FALSE,"포장2"}</definedName>
    <definedName name="DFDSSF" hidden="1">{#N/A,#N/A,FALSE,"이정표"}</definedName>
    <definedName name="DFFD" hidden="1">{#N/A,#N/A,FALSE,"CCTV"}</definedName>
    <definedName name="dffdff"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dfff" hidden="1">#REF!</definedName>
    <definedName name="DFFFF" hidden="1">{#N/A,#N/A,FALSE,"조골재"}</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ADSGAFDG" hidden="1">{#N/A,#N/A,FALSE,"운반시간"}</definedName>
    <definedName name="dfgee" hidden="1">#REF!</definedName>
    <definedName name="DFGFDG" hidden="1">#REF!</definedName>
    <definedName name="DFGFDHDFH" hidden="1">{"'광피스표'!$A$3:$N$54"}</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h" hidden="1">{#N/A,#N/A,FALSE,"조골재"}</definedName>
    <definedName name="DFGHRT" hidden="1">{#N/A,#N/A,FALSE,"골재소요량";#N/A,#N/A,FALSE,"골재소요량"}</definedName>
    <definedName name="dfgtrytr" localSheetId="0" hidden="1">{#N/A,#N/A,FALSE,"현장 NCR 분석";#N/A,#N/A,FALSE,"현장품질감사";#N/A,#N/A,FALSE,"현장품질감사"}</definedName>
    <definedName name="dfgtrytr" hidden="1">{#N/A,#N/A,FALSE,"현장 NCR 분석";#N/A,#N/A,FALSE,"현장품질감사";#N/A,#N/A,FALSE,"현장품질감사"}</definedName>
    <definedName name="DFHDFHRE" hidden="1">{#N/A,#N/A,FALSE,"속도"}</definedName>
    <definedName name="DFHYT" hidden="1">{#N/A,#N/A,FALSE,"단가표지"}</definedName>
    <definedName name="dfsdaaf" hidden="1">{"'Sheet1'!$A$4","'Sheet1'!$A$9:$G$28"}</definedName>
    <definedName name="dfsf" hidden="1">#REF!</definedName>
    <definedName name="DFSSA" hidden="1">{#N/A,#N/A,FALSE,"운반시간"}</definedName>
    <definedName name="dfwer" localSheetId="0" hidden="1">{"'Firr(선)'!$AS$1:$AY$62","'Firr(사)'!$AS$1:$AY$62","'Firr(회)'!$AS$1:$AY$62","'Firr(선)'!$L$1:$V$62","'Firr(사)'!$L$1:$V$62","'Firr(회)'!$L$1:$V$62"}</definedName>
    <definedName name="dfwer" hidden="1">{"'Firr(선)'!$AS$1:$AY$62","'Firr(사)'!$AS$1:$AY$62","'Firr(회)'!$AS$1:$AY$62","'Firr(선)'!$L$1:$V$62","'Firr(사)'!$L$1:$V$62","'Firr(회)'!$L$1:$V$62"}</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a" hidden="1">#REF!</definedName>
    <definedName name="DGBGHY" hidden="1">{#N/A,#N/A,FALSE,"단가표지"}</definedName>
    <definedName name="DGDFGFGDG" hidden="1">{#N/A,#N/A,FALSE,"배수1"}</definedName>
    <definedName name="dgfgf" localSheetId="0" hidden="1">{#N/A,#N/A,FALSE,"2~8번"}</definedName>
    <definedName name="dgfgf" hidden="1">{#N/A,#N/A,FALSE,"2~8번"}</definedName>
    <definedName name="DGFSGA" hidden="1">#N/A</definedName>
    <definedName name="DGH" hidden="1">{#N/A,#N/A,FALSE,"조골재"}</definedName>
    <definedName name="DGo"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dh" hidden="1">{#N/A,#N/A,FALSE,"현장 NCR 분석";#N/A,#N/A,FALSE,"현장품질감사";#N/A,#N/A,FALSE,"현장품질감사"}</definedName>
    <definedName name="DHGFGYE" localSheetId="0" hidden="1">{#N/A,#N/A,FALSE,"현장 NCR 분석";#N/A,#N/A,FALSE,"현장품질감사";#N/A,#N/A,FALSE,"현장품질감사"}</definedName>
    <definedName name="DHGFGYE" hidden="1">{#N/A,#N/A,FALSE,"현장 NCR 분석";#N/A,#N/A,FALSE,"현장품질감사";#N/A,#N/A,FALSE,"현장품질감사"}</definedName>
    <definedName name="DIDDK" hidden="1">{#N/A,#N/A,FALSE,"손익표지";#N/A,#N/A,FALSE,"손익계산";#N/A,#N/A,FALSE,"일반관리비";#N/A,#N/A,FALSE,"영업외수익";#N/A,#N/A,FALSE,"영업외비용";#N/A,#N/A,FALSE,"매출액";#N/A,#N/A,FALSE,"요약손익";#N/A,#N/A,FALSE,"요약대차";#N/A,#N/A,FALSE,"매출채권현황";#N/A,#N/A,FALSE,"매출채권명세"}</definedName>
    <definedName name="didtlr" hidden="1">{"'중기작업1'!$A$1:$V$18"}</definedName>
    <definedName name="dist_bin1" hidden="1">#REF!</definedName>
    <definedName name="dist_value1" hidden="1">#REF!</definedName>
    <definedName name="dj" localSheetId="0" hidden="1">#REF!</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dj" hidden="1">#REF!</definedName>
    <definedName name="djfkdfjkdjfkd" hidden="1">{#N/A,#N/A,FALSE,"Sheet1"}</definedName>
    <definedName name="djflkdslfj" hidden="1">#REF!</definedName>
    <definedName name="djj" hidden="1">{#N/A,#N/A,FALSE,"속도"}</definedName>
    <definedName name="djl" hidden="1">{#N/A,#N/A,FALSE,"표지목차"}</definedName>
    <definedName name="DJYDTYJ" hidden="1">#REF!</definedName>
    <definedName name="dk" hidden="1">{#N/A,#N/A,FALSE,"단가표지"}</definedName>
    <definedName name="DKC" hidden="1">{#N/A,#N/A,FALSE,"현장 NCR 분석";#N/A,#N/A,FALSE,"현장품질감사";#N/A,#N/A,FALSE,"현장품질감사"}</definedName>
    <definedName name="dkdkdkdkd" hidden="1">{#N/A,#N/A,FALSE,"명세표"}</definedName>
    <definedName name="DKFDKF" hidden="1">#REF!</definedName>
    <definedName name="dkkf" hidden="1">{#N/A,#N/A,FALSE,"혼합골재"}</definedName>
    <definedName name="dkkjkjkjk" hidden="1">{#N/A,#N/A,FALSE,"Sheet1"}</definedName>
    <definedName name="dkls" hidden="1">{#N/A,#N/A,TRUE,"토적및재료집계";#N/A,#N/A,TRUE,"토적및재료집계";#N/A,#N/A,TRUE,"단위량"}</definedName>
    <definedName name="DL" hidden="1">{#N/A,#N/A,FALSE,"전력간선"}</definedName>
    <definedName name="dldldldll" hidden="1">#REF!</definedName>
    <definedName name="dlff" hidden="1">{#N/A,#N/A,FALSE,"운반시간"}</definedName>
    <definedName name="DLGKSFWN" hidden="1">#REF!</definedName>
    <definedName name="dljf" hidden="1">#REF!</definedName>
    <definedName name="DLS" hidden="1">{#N/A,#N/A,TRUE,"Y생산";#N/A,#N/A,TRUE,"Y판매";#N/A,#N/A,TRUE,"Y총물량";#N/A,#N/A,TRUE,"Y능력";#N/A,#N/A,TRUE,"YKD"}</definedName>
    <definedName name="dn" localSheetId="0" hidden="1">{#N/A,#N/A,FALSE,"혼합골재"}</definedName>
    <definedName name="dn" hidden="1">{#N/A,#N/A,FALSE,"혼합골재"}</definedName>
    <definedName name="dns" hidden="1">{#N/A,#N/A,FALSE,"운반시간"}</definedName>
    <definedName name="DpFKDL" hidden="1">{#N/A,#N/A,FALSE,"이태원철근"}</definedName>
    <definedName name="DRJDRTH" hidden="1">#REF!</definedName>
    <definedName name="DRYS" hidden="1">{#N/A,#N/A,FALSE,"조골재"}</definedName>
    <definedName name="DSA" hidden="1">{#N/A,#N/A,FALSE,"포장1";#N/A,#N/A,FALSE,"포장1"}</definedName>
    <definedName name="dsaf" hidden="1">{#N/A,#N/A,FALSE,"조골재"}</definedName>
    <definedName name="DSAFAS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SAGDAGRW4wt" hidden="1">{#N/A,#N/A,FALSE,"표지목차"}</definedName>
    <definedName name="dsdsd" hidden="1">{#N/A,#N/A,FALSE,"운반시간"}</definedName>
    <definedName name="DSF" hidden="1">{#N/A,#N/A,FALSE,"골재소요량";#N/A,#N/A,FALSE,"골재소요량"}</definedName>
    <definedName name="DSFDF" hidden="1">#REF!</definedName>
    <definedName name="DSFG" hidden="1">{#N/A,#N/A,FALSE,"2~8번"}</definedName>
    <definedName name="dsgfsdgs" hidden="1">#N/A</definedName>
    <definedName name="DSGHE" hidden="1">{#N/A,#N/A,FALSE,"단가표지"}</definedName>
    <definedName name="dsgsdg" hidden="1">#N/A</definedName>
    <definedName name="DSGSFWERD" hidden="1">{#N/A,#N/A,FALSE,"골재소요량";#N/A,#N/A,FALSE,"골재소요량"}</definedName>
    <definedName name="dsjflas" hidden="1">{#N/A,#N/A,TRUE,"토적및재료집계";#N/A,#N/A,TRUE,"토적및재료집계";#N/A,#N/A,TRUE,"단위량"}</definedName>
    <definedName name="DSRY" hidden="1">{#N/A,#N/A,FALSE,"표지목차"}</definedName>
    <definedName name="DSSDS" hidden="1">{#N/A,#N/A,FALSE,"명세표"}</definedName>
    <definedName name="dt" hidden="1">{"'Sheet1'!$A$4","'Sheet1'!$A$9:$G$28"}</definedName>
    <definedName name="dtrhgnb" hidden="1">{#N/A,#N/A,FALSE,"2~8번"}</definedName>
    <definedName name="DTYJTH" hidden="1">#REF!</definedName>
    <definedName name="DUT" hidden="1">#REF!</definedName>
    <definedName name="DVR" hidden="1">{#N/A,#N/A,FALSE,"단가표지"}</definedName>
    <definedName name="DVZGZZT" hidden="1">{#N/A,#N/A,FALSE,"2~8번"}</definedName>
    <definedName name="DW" hidden="1">{#N/A,#N/A,FALSE,"배수2"}</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EDWD" hidden="1">{#N/A,#N/A,FALSE,"양식(을)"}</definedName>
    <definedName name="e" hidden="1">{#N/A,#N/A,FALSE,"현장 NCR 분석";#N/A,#N/A,FALSE,"현장품질감사";#N/A,#N/A,FALSE,"현장품질감사"}</definedName>
    <definedName name="eded" hidden="1">#REF!</definedName>
    <definedName name="edrfr" hidden="1">#REF!</definedName>
    <definedName name="edssqq" hidden="1">{#N/A,#N/A,FALSE,"혼합골재"}</definedName>
    <definedName name="ee" localSheetId="0" hidden="1">{#N/A,#N/A,FALSE,"단가표지"}</definedName>
    <definedName name="ee" hidden="1">{#N/A,#N/A,FALSE,"단가표지"}</definedName>
    <definedName name="eee" hidden="1">{#N/A,#N/A,FALSE,"2~8번"}</definedName>
    <definedName name="eee.송운" localSheetId="0" hidden="1">{#N/A,#N/A,FALSE,"운반시간"}</definedName>
    <definedName name="eee.송운" hidden="1">{#N/A,#N/A,FALSE,"운반시간"}</definedName>
    <definedName name="EEEEEEE" hidden="1">{#N/A,#N/A,FALSE,"표지목차"}</definedName>
    <definedName name="eeeeeeeeeeeeeee" hidden="1">{#N/A,#N/A,FALSE,"운반시간"}</definedName>
    <definedName name="eeefr" hidden="1">#REF!</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h" hidden="1">{#N/A,#N/A,FALSE,"현장 NCR 분석";#N/A,#N/A,FALSE,"현장품질감사";#N/A,#N/A,FALSE,"현장품질감사"}</definedName>
    <definedName name="EK" hidden="1">#REF!</definedName>
    <definedName name="ekfk" hidden="1">{#N/A,#N/A,FALSE,"현장 NCR 분석";#N/A,#N/A,FALSE,"현장품질감사";#N/A,#N/A,FALSE,"현장품질감사"}</definedName>
    <definedName name="er" hidden="1">{#N/A,#N/A,FALSE,"단가표지"}</definedName>
    <definedName name="erawer" hidden="1">#N/A</definedName>
    <definedName name="ERBSTDT" hidden="1">{#N/A,#N/A,FALSE,"운반시간"}</definedName>
    <definedName name="errer" hidden="1">#REF!</definedName>
    <definedName name="ErrName301948010" hidden="1">#REF!</definedName>
    <definedName name="errname301948011" hidden="1">#REF!</definedName>
    <definedName name="ert" localSheetId="0" hidden="1">#REF!</definedName>
    <definedName name="ert" hidden="1">{"'Sheet1'!$A$4","'Sheet1'!$A$9:$G$28"}</definedName>
    <definedName name="ERTRT" hidden="1">{#N/A,#N/A,FALSE,"2~8번"}</definedName>
    <definedName name="erw" hidden="1">#N/A</definedName>
    <definedName name="erwer" hidden="1">#REF!</definedName>
    <definedName name="esteban" hidden="1">{#N/A,#N/A,FALSE,"골재소요량";#N/A,#N/A,FALSE,"골재소요량"}</definedName>
    <definedName name="eswdrfas" localSheetId="0" hidden="1">{#N/A,#N/A,FALSE,"단가표지"}</definedName>
    <definedName name="eswdrfas" hidden="1">{#N/A,#N/A,FALSE,"단가표지"}</definedName>
    <definedName name="etr" hidden="1">{#N/A,#N/A,FALSE,"표지목차"}</definedName>
    <definedName name="etsg44" hidden="1">#REF!</definedName>
    <definedName name="EVST6" hidden="1">{#N/A,#N/A,FALSE,"단가표지"}</definedName>
    <definedName name="ew" hidden="1">{#N/A,#N/A,FALSE,"구조2"}</definedName>
    <definedName name="ewew" hidden="1">#REF!</definedName>
    <definedName name="ewq" localSheetId="0" hidden="1">{"'Firr(선)'!$AS$1:$AY$62","'Firr(사)'!$AS$1:$AY$62","'Firr(회)'!$AS$1:$AY$62","'Firr(선)'!$L$1:$V$62","'Firr(사)'!$L$1:$V$62","'Firr(회)'!$L$1:$V$62"}</definedName>
    <definedName name="ewq" hidden="1">{"'Firr(선)'!$AS$1:$AY$62","'Firr(사)'!$AS$1:$AY$62","'Firr(회)'!$AS$1:$AY$62","'Firr(선)'!$L$1:$V$62","'Firr(사)'!$L$1:$V$62","'Firr(회)'!$L$1:$V$62"}</definedName>
    <definedName name="EWR" hidden="1">{#N/A,#N/A,FALSE,"골재소요량";#N/A,#N/A,FALSE,"골재소요량"}</definedName>
    <definedName name="eztgh" hidden="1">{#N/A,#N/A,FALSE,"포장2"}</definedName>
    <definedName name="f" hidden="1">#REF!</definedName>
    <definedName name="FA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#REF!</definedName>
    <definedName name="FDF" hidden="1">{#N/A,#N/A,FALSE,"CCTV"}</definedName>
    <definedName name="fdfasa"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GDFAGFD" hidden="1">{#N/A,#N/A,FALSE,"포장1";#N/A,#N/A,FALSE,"포장1"}</definedName>
    <definedName name="fdgfdg" hidden="1">{#N/A,#N/A,FALSE,"2~8번"}</definedName>
    <definedName name="fdgfgf" hidden="1">{#N/A,#N/A,FALSE,"운반시간"}</definedName>
    <definedName name="fdgshf" hidden="1">{#N/A,#N/A,FALSE,"포장1";#N/A,#N/A,FALSE,"포장1"}</definedName>
    <definedName name="fdhevwtec" hidden="1">{#N/A,#N/A,FALSE,"구조1"}</definedName>
    <definedName name="fdhevwtecc" hidden="1">{#N/A,#N/A,FALSE,"구조1"}</definedName>
    <definedName name="fdjk" hidden="1">{#N/A,#N/A,FALSE,"골재소요량";#N/A,#N/A,FALSE,"골재소요량"}</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AF" hidden="1">#N/A</definedName>
    <definedName name="FDUG" localSheetId="0" hidden="1">{#N/A,#N/A,FALSE,"현장 NCR 분석";#N/A,#N/A,FALSE,"현장품질감사";#N/A,#N/A,FALSE,"현장품질감사"}</definedName>
    <definedName name="FDUG" hidden="1">{#N/A,#N/A,FALSE,"현장 NCR 분석";#N/A,#N/A,FALSE,"현장품질감사";#N/A,#N/A,FALSE,"현장품질감사"}</definedName>
    <definedName name="fedgr" hidden="1">{#N/A,#N/A,FALSE,"배수1"}</definedName>
    <definedName name="fedgre" hidden="1">{#N/A,#N/A,FALSE,"배수1"}</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rerf" hidden="1">{#N/A,#N/A,FALSE,"배수1"}</definedName>
    <definedName name="fewsfssf" hidden="1">#REF!</definedName>
    <definedName name="ff" localSheetId="0" hidden="1">{#N/A,#N/A,FALSE,"운반시간"}</definedName>
    <definedName name="ff" hidden="1">{#N/A,#N/A,FALSE,"운반시간"}</definedName>
    <definedName name="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 localSheetId="0" hidden="1">{#N/A,#N/A,FALSE,"운반시간"}</definedName>
    <definedName name="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ff" hidden="1">{#N/A,#N/A,FALSE,"골재소요량";#N/A,#N/A,FALSE,"골재소요량"}</definedName>
    <definedName name="FFGDFER6" hidden="1">#REF!</definedName>
    <definedName name="ffk" hidden="1">#REF!</definedName>
    <definedName name="FGDAG" hidden="1">{#N/A,#N/A,FALSE,"포장2"}</definedName>
    <definedName name="FGDAGFG" hidden="1">{#N/A,#N/A,FALSE,"혼합골재"}</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adgf" hidden="1">{#N/A,#N/A,FALSE,"혼합골재"}</definedName>
    <definedName name="FGFDG" hidden="1">{#N/A,#N/A,FALSE,"표지목차"}</definedName>
    <definedName name="fgfdgffff" hidden="1">{#N/A,#N/A,FALSE,"부대2"}</definedName>
    <definedName name="fgfdsgdfg" hidden="1">{#N/A,#N/A,FALSE,"혼합골재"}</definedName>
    <definedName name="fgfg" localSheetId="0" hidden="1">{#N/A,#N/A,FALSE,"2~8번"}</definedName>
    <definedName name="fgfg" hidden="1">{#N/A,#N/A,FALSE,"2~8번"}</definedName>
    <definedName name="fgfgfg" localSheetId="0" hidden="1">{#N/A,#N/A,FALSE,"골재소요량";#N/A,#N/A,FALSE,"골재소요량"}</definedName>
    <definedName name="fgfgfg" hidden="1">{#N/A,#N/A,FALSE,"골재소요량";#N/A,#N/A,FALSE,"골재소요량"}</definedName>
    <definedName name="FGFGFGFG" hidden="1">{#N/A,#N/A,FALSE,"조골재"}</definedName>
    <definedName name="fgh" localSheetId="0" hidden="1">{#N/A,#N/A,FALSE,"현장 NCR 분석";#N/A,#N/A,FALSE,"현장품질감사";#N/A,#N/A,FALSE,"현장품질감사"}</definedName>
    <definedName name="fgh" hidden="1">{#N/A,#N/A,FALSE,"현장 NCR 분석";#N/A,#N/A,FALSE,"현장품질감사";#N/A,#N/A,FALSE,"현장품질감사"}</definedName>
    <definedName name="fghdff" hidden="1">#N/A</definedName>
    <definedName name="fghfdagfd" hidden="1">{#N/A,#N/A,FALSE,"표지목차"}</definedName>
    <definedName name="fghfgh" localSheetId="0" hidden="1">{#N/A,#N/A,FALSE,"현장 NCR 분석";#N/A,#N/A,FALSE,"현장품질감사";#N/A,#N/A,FALSE,"현장품질감사"}</definedName>
    <definedName name="fghfgh" hidden="1">{#N/A,#N/A,FALSE,"현장 NCR 분석";#N/A,#N/A,FALSE,"현장품질감사";#N/A,#N/A,FALSE,"현장품질감사"}</definedName>
    <definedName name="fghjfjg" localSheetId="0" hidden="1">{#N/A,#N/A,FALSE,"현장 NCR 분석";#N/A,#N/A,FALSE,"현장품질감사";#N/A,#N/A,FALSE,"현장품질감사"}</definedName>
    <definedName name="fghjfjg" hidden="1">{#N/A,#N/A,FALSE,"현장 NCR 분석";#N/A,#N/A,FALSE,"현장품질감사";#N/A,#N/A,FALSE,"현장품질감사"}</definedName>
    <definedName name="FGJFG" hidden="1">{#N/A,#N/A,FALSE,"배수2"}</definedName>
    <definedName name="FGJFK" hidden="1">{#N/A,#N/A,FALSE,"구조2"}</definedName>
    <definedName name="FGJGFJGF" hidden="1">{#N/A,#N/A,FALSE,"포장2"}</definedName>
    <definedName name="FGJGFJGH" hidden="1">{#N/A,#N/A,FALSE,"구조2"}</definedName>
    <definedName name="FGJGFTTJGHK" hidden="1">{#N/A,#N/A,FALSE,"배수2"}</definedName>
    <definedName name="FGJGHJ" hidden="1">{#N/A,#N/A,FALSE,"속도"}</definedName>
    <definedName name="FGJGJG" hidden="1">{#N/A,#N/A,FALSE,"배수1"}</definedName>
    <definedName name="FGJHGFJG" hidden="1">{#N/A,#N/A,FALSE,"구조2"}</definedName>
    <definedName name="fgn" hidden="1">{#N/A,#N/A,FALSE,"구조2"}</definedName>
    <definedName name="fgnrt" hidden="1">{#N/A,#N/A,FALSE,"단가표지"}</definedName>
    <definedName name="fgsdf" hidden="1">{#N/A,#N/A,FALSE,"운반시간"}</definedName>
    <definedName name="fgss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 hidden="1">{#N/A,#N/A,FALSE,"속도"}</definedName>
    <definedName name="fhddg" hidden="1">{#N/A,#N/A,FALSE,"부대1"}</definedName>
    <definedName name="fhdkjf" localSheetId="0" hidden="1">{#N/A,#N/A,FALSE,"골재소요량";#N/A,#N/A,FALSE,"골재소요량"}</definedName>
    <definedName name="fhdkjf" hidden="1">{#N/A,#N/A,FALSE,"골재소요량";#N/A,#N/A,FALSE,"골재소요량"}</definedName>
    <definedName name="FHFH" hidden="1">#REF!</definedName>
    <definedName name="FHFK" hidden="1">#REF!</definedName>
    <definedName name="fhhgh" localSheetId="0" hidden="1">{#N/A,#N/A,FALSE,"현장 NCR 분석";#N/A,#N/A,FALSE,"현장품질감사";#N/A,#N/A,FALSE,"현장품질감사"}</definedName>
    <definedName name="fhhgh" hidden="1">{#N/A,#N/A,FALSE,"현장 NCR 분석";#N/A,#N/A,FALSE,"현장품질감사";#N/A,#N/A,FALSE,"현장품질감사"}</definedName>
    <definedName name="FI" hidden="1">#REF!</definedName>
    <definedName name="fifofl" hidden="1">#REF!</definedName>
    <definedName name="fill" hidden="1">#REF!</definedName>
    <definedName name="fill1" hidden="1">#REF!</definedName>
    <definedName name="FIYD" hidden="1">{#N/A,#N/A,FALSE,"표지목차"}</definedName>
    <definedName name="fj" hidden="1">{#N/A,#N/A,FALSE,"골재소요량";#N/A,#N/A,FALSE,"골재소요량"}</definedName>
    <definedName name="FJD" hidden="1">{#N/A,#N/A,FALSE,"단축1";#N/A,#N/A,FALSE,"단축2";#N/A,#N/A,FALSE,"단축3";#N/A,#N/A,FALSE,"장축";#N/A,#N/A,FALSE,"4WD"}</definedName>
    <definedName name="FJHGJK" hidden="1">{#N/A,#N/A,FALSE,"운반시간"}</definedName>
    <definedName name="FJSDHF" localSheetId="0" hidden="1">{#N/A,#N/A,FALSE,"단가표지"}</definedName>
    <definedName name="FJSDHF" hidden="1">{#N/A,#N/A,FALSE,"단가표지"}</definedName>
    <definedName name="FJX" hidden="1">{#N/A,#N/A,FALSE,"혼합골재"}</definedName>
    <definedName name="fkf" hidden="1">#REF!</definedName>
    <definedName name="fkla" hidden="1">{#N/A,#N/A,TRUE,"Y생산";#N/A,#N/A,TRUE,"Y판매";#N/A,#N/A,TRUE,"Y총물량";#N/A,#N/A,TRUE,"Y능력";#N/A,#N/A,TRUE,"YKD"}</definedName>
    <definedName name="FLEXIBLE.T.L" hidden="1">{#N/A,#N/A,FALSE,"단축1";#N/A,#N/A,FALSE,"단축2";#N/A,#N/A,FALSE,"단축3";#N/A,#N/A,FALSE,"장축";#N/A,#N/A,FALSE,"4WD"}</definedName>
    <definedName name="FLOW" hidden="1">#REF!</definedName>
    <definedName name="fng" hidden="1">{#N/A,#N/A,FALSE,"구조2"}</definedName>
    <definedName name="fngrt" hidden="1">{#N/A,#N/A,FALSE,"단가표지"}</definedName>
    <definedName name="frfr" hidden="1">#REF!</definedName>
    <definedName name="frfrefed" hidden="1">#REF!</definedName>
    <definedName name="frfrff" hidden="1">#REF!</definedName>
    <definedName name="FS" hidden="1">{#N/A,#N/A,FALSE,"배수1"}</definedName>
    <definedName name="FSA" hidden="1">{#N/A,#N/A,FALSE,"조골재"}</definedName>
    <definedName name="fsafdasf" hidden="1">#N/A</definedName>
    <definedName name="FSAFSAFSA" hidden="1">{#N/A,#N/A,FALSE,"운반시간"}</definedName>
    <definedName name="FSD" hidden="1">{#N/A,#N/A,FALSE,"조골재"}</definedName>
    <definedName name="fsdafhaaaaeraw" hidden="1">{#N/A,#N/A,FALSE,"구조1"}</definedName>
    <definedName name="FSDFASDF" hidden="1">{#N/A,#N/A,FALSE,"배수1"}</definedName>
    <definedName name="FSDSAFSA" hidden="1">{#N/A,#N/A,FALSE,"2~8번"}</definedName>
    <definedName name="FULL" hidden="1">#REF!</definedName>
    <definedName name="fv" hidden="1">{#N/A,#N/A,FALSE,"전력간선"}</definedName>
    <definedName name="FYUKGFYUK" hidden="1">#REF!</definedName>
    <definedName name="g" hidden="1">{#N/A,#N/A,FALSE,"현장 NCR 분석";#N/A,#N/A,FALSE,"현장품질감사";#N/A,#N/A,FALSE,"현장품질감사"}</definedName>
    <definedName name="ga"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aga" hidden="1">#REF!</definedName>
    <definedName name="gahahah" hidden="1">{#N/A,#N/A,FALSE,"포장1";#N/A,#N/A,FALSE,"포장1"}</definedName>
    <definedName name="gasef" hidden="1">{#N/A,#N/A,FALSE,"조골재"}</definedName>
    <definedName name="GASFDAFGASG" hidden="1">{#N/A,#N/A,FALSE,"골재소요량";#N/A,#N/A,FALSE,"골재소요량"}</definedName>
    <definedName name="gb" hidden="1">{#N/A,#N/A,FALSE,"2~8번"}</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FRTS" hidden="1">{#N/A,#N/A,FALSE,"배수1"}</definedName>
    <definedName name="gdf" hidden="1">{#N/A,#N/A,FALSE,"속도"}</definedName>
    <definedName name="GDFG" hidden="1">{#N/A,#N/A,FALSE,"2~8번"}</definedName>
    <definedName name="gdfrffs" hidden="1">{#N/A,#N/A,FALSE,"구조2"}</definedName>
    <definedName name="GDFS" hidden="1">{#N/A,#N/A,FALSE,"2~8번"}</definedName>
    <definedName name="GDG" hidden="1">{#N/A,#N/A,FALSE,"포장2"}</definedName>
    <definedName name="GDGFD" hidden="1">{#N/A,#N/A,FALSE,"배수1"}</definedName>
    <definedName name="gdjhsy" hidden="1">#REF!</definedName>
    <definedName name="gdsg" hidden="1">#REF!</definedName>
    <definedName name="GEMCO" hidden="1">#REF!</definedName>
    <definedName name="GEMCO1" hidden="1">#REF!</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DG" hidden="1">{#N/A,#N/A,FALSE,"2~8번"}</definedName>
    <definedName name="GFDGDFGFG" hidden="1">{#N/A,#N/A,FALSE,"혼합골재"}</definedName>
    <definedName name="GFDSAG" hidden="1">{#N/A,#N/A,FALSE,"2~8번"}</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dfg" hidden="1">#REF!</definedName>
    <definedName name="gfgfg" localSheetId="0" hidden="1">{#N/A,#N/A,FALSE,"골재소요량";#N/A,#N/A,FALSE,"골재소요량"}</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HGFHF" hidden="1">{#N/A,#N/A,FALSE,"토공2"}</definedName>
    <definedName name="gfgsfd" hidden="1">#N/A</definedName>
    <definedName name="GFHGG" hidden="1">#REF!</definedName>
    <definedName name="gfhgh" hidden="1">{#N/A,#N/A,FALSE,"배수2"}</definedName>
    <definedName name="GFHJ" hidden="1">{#N/A,#N/A,FALSE,"단가표지"}</definedName>
    <definedName name="GFHR" hidden="1">{#N/A,#N/A,FALSE,"운반시간"}</definedName>
    <definedName name="GFJGFJGH" hidden="1">{#N/A,#N/A,FALSE,"2~8번"}</definedName>
    <definedName name="GFJGFJRRJGH" hidden="1">{#N/A,#N/A,FALSE,"배수1"}</definedName>
    <definedName name="GFJHGFJGF" hidden="1">{#N/A,#N/A,FALSE,"혼합골재"}</definedName>
    <definedName name="gfld" hidden="1">{#N/A,#N/A,TRUE,"Y생산";#N/A,#N/A,TRUE,"Y판매";#N/A,#N/A,TRUE,"Y총물량";#N/A,#N/A,TRUE,"Y능력";#N/A,#N/A,TRUE,"YKD"}</definedName>
    <definedName name="GFRRJGH" hidden="1">{#N/A,#N/A,FALSE,"단가표지"}</definedName>
    <definedName name="GFㄹ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 hidden="1">{#N/A,#N/A,FALSE,"운반시간"}</definedName>
    <definedName name="ggfhgfshgh" hidden="1">{#N/A,#N/A,FALSE,"포장2"}</definedName>
    <definedName name="GGG" hidden="1">#REF!</definedName>
    <definedName name="gggg" hidden="1">{#N/A,#N/A,FALSE,"골재소요량";#N/A,#N/A,FALSE,"골재소요량"}</definedName>
    <definedName name="ggggg" hidden="1">{#N/A,#N/A,FALSE,"구조1"}</definedName>
    <definedName name="ggh" hidden="1">{#N/A,#N/A,FALSE,"표지목차"}</definedName>
    <definedName name="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HAWEFDS" hidden="1">{#N/A,#N/A,FALSE,"운반시간"}</definedName>
    <definedName name="GHC" hidden="1">{#N/A,#N/A,FALSE,"단가표지"}</definedName>
    <definedName name="ghgfh" hidden="1">{#N/A,#N/A,FALSE,"포장2"}</definedName>
    <definedName name="ghgg" hidden="1">#REF!</definedName>
    <definedName name="ghhg" hidden="1">{#N/A,#N/A,FALSE,"부대2"}</definedName>
    <definedName name="GHIUTRF" hidden="1">{#N/A,#N/A,FALSE,"골재소요량";#N/A,#N/A,FALSE,"골재소요량"}</definedName>
    <definedName name="ghj" hidden="1">#N/A</definedName>
    <definedName name="GHUTGHF" hidden="1">{#N/A,#N/A,FALSE,"96 3월물량표";#N/A,#N/A,FALSE,"96 4월물량표";#N/A,#N/A,FALSE,"96 5월물량표"}</definedName>
    <definedName name="GIFI" hidden="1">{#N/A,#N/A,FALSE,"운반시간"}</definedName>
    <definedName name="GJFGJFGJ" hidden="1">{#N/A,#N/A,FALSE,"골재소요량";#N/A,#N/A,FALSE,"골재소요량"}</definedName>
    <definedName name="GJGFJGFHJ" hidden="1">{#N/A,#N/A,FALSE,"속도"}</definedName>
    <definedName name="GJHGLI" hidden="1">{#N/A,#N/A,FALSE,"포장1";#N/A,#N/A,FALSE,"포장1"}</definedName>
    <definedName name="grew" hidden="1">#REF!</definedName>
    <definedName name="grh" hidden="1">{"'Sheet1'!$A$4","'Sheet1'!$A$9:$G$28"}</definedName>
    <definedName name="GRT" hidden="1">#REF!</definedName>
    <definedName name="grthyh" hidden="1">{#N/A,#N/A,FALSE,"토공2"}</definedName>
    <definedName name="GS" hidden="1">{#N/A,#N/A,FALSE,"포장2"}</definedName>
    <definedName name="gsagsdarafds" hidden="1">{#N/A,#N/A,FALSE,"토공2"}</definedName>
    <definedName name="GSDGSRWQR" hidden="1">{#N/A,#N/A,FALSE,"속도"}</definedName>
    <definedName name="gtgt" hidden="1">#REF!</definedName>
    <definedName name="gthyhy" hidden="1">#REF!</definedName>
    <definedName name="gw" hidden="1">{#N/A,#N/A,FALSE,"배수1"}</definedName>
    <definedName name="GY" hidden="1">{#N/A,#N/A,FALSE,"조골재"}</definedName>
    <definedName name="GYJ" hidden="1">{#N/A,#N/A,FALSE,"2~8번"}</definedName>
    <definedName name="G견적" hidden="1">{#N/A,#N/A,TRUE,"손익보고"}</definedName>
    <definedName name="ha" hidden="1">{#N/A,#N/A,FALSE,"지침";#N/A,#N/A,FALSE,"환경분석";#N/A,#N/A,FALSE,"Sheet16"}</definedName>
    <definedName name="hadfhafa" hidden="1">{#N/A,#N/A,FALSE,"혼합골재"}</definedName>
    <definedName name="hadfhafhad" hidden="1">{#N/A,#N/A,FALSE,"운반시간"}</definedName>
    <definedName name="hadfhata" hidden="1">{#N/A,#N/A,FALSE,"표지목차"}</definedName>
    <definedName name="hadhfaha" hidden="1">{#N/A,#N/A,FALSE,"포장2"}</definedName>
    <definedName name="hadsfe" hidden="1">{#N/A,#N/A,FALSE,"조골재"}</definedName>
    <definedName name="han" localSheetId="1" hidden="1">#REF!</definedName>
    <definedName name="han" hidden="1">#REF!</definedName>
    <definedName name="hardwar" hidden="1">#REF!</definedName>
    <definedName name="HARDWAR1" hidden="1">#REF!</definedName>
    <definedName name="hardwar2" hidden="1">#REF!</definedName>
    <definedName name="HASFE" hidden="1">{#N/A,#N/A,FALSE,"단가표지"}</definedName>
    <definedName name="hbjk" hidden="1">#REF!</definedName>
    <definedName name="hdehd" hidden="1">#REF!</definedName>
    <definedName name="HDFD" hidden="1">{#N/A,#N/A,FALSE,"속도"}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F" hidden="1">{#N/A,#N/A,FALSE,"표지목차"}</definedName>
    <definedName name="HERE" hidden="1">{#N/A,#N/A,TRUE,"손익보고"}</definedName>
    <definedName name="hfdhgdf" hidden="1">#N/A</definedName>
    <definedName name="HFG" hidden="1">{#N/A,#N/A,TRUE,"Y생산";#N/A,#N/A,TRUE,"Y판매";#N/A,#N/A,TRUE,"Y총물량";#N/A,#N/A,TRUE,"Y능력";#N/A,#N/A,TRUE,"YKD"}</definedName>
    <definedName name="HFGS" hidden="1">{#N/A,#N/A,FALSE,"구조2"}</definedName>
    <definedName name="hgd" hidden="1">{#N/A,#N/A,FALSE,"배수2"}</definedName>
    <definedName name="HGDSGJGFJGF" hidden="1">{#N/A,#N/A,FALSE,"배수2"}</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ASFAS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d" hidden="1">#N/A</definedName>
    <definedName name="HGFH" hidden="1">{#N/A,#N/A,FALSE,"2~8번"}</definedName>
    <definedName name="HGFSTAA" hidden="1">#REF!</definedName>
    <definedName name="hgfyt" localSheetId="0" hidden="1">{#N/A,#N/A,FALSE,"현장 NCR 분석";#N/A,#N/A,FALSE,"현장품질감사";#N/A,#N/A,FALSE,"현장품질감사"}</definedName>
    <definedName name="hgfyt" hidden="1">{#N/A,#N/A,FALSE,"현장 NCR 분석";#N/A,#N/A,FALSE,"현장품질감사";#N/A,#N/A,FALSE,"현장품질감사"}</definedName>
    <definedName name="hgh" localSheetId="0" hidden="1">{#N/A,#N/A,FALSE,"단가표지"}</definedName>
    <definedName name="hgh" hidden="1">{#N/A,#N/A,FALSE,"단가표지"}</definedName>
    <definedName name="hghg" localSheetId="0" hidden="1">{#N/A,#N/A,FALSE,"운반시간"}</definedName>
    <definedName name="hghg" hidden="1">{#N/A,#N/A,FALSE,"운반시간"}</definedName>
    <definedName name="HGHH" hidden="1">{#N/A,#N/A,FALSE,"표지목차"}</definedName>
    <definedName name="HHADG" hidden="1">{#N/A,#N/A,FALSE,"조골재"}</definedName>
    <definedName name="HHH" hidden="1">{#N/A,#N/A,FALSE,"2~8번"}</definedName>
    <definedName name="hhhh" localSheetId="0" hidden="1">{#N/A,#N/A,FALSE,"전력간선"}</definedName>
    <definedName name="HHHH" hidden="1">#REF!</definedName>
    <definedName name="hhhhhh" hidden="1">{#N/A,#N/A,FALSE,"골재소요량";#N/A,#N/A,FALSE,"골재소요량"}</definedName>
    <definedName name="HHHHHHHHHHHHHHHHHHHHH" hidden="1">{#N/A,#N/A,FALSE,"토공2"}</definedName>
    <definedName name="hhj" hidden="1">{#N/A,#N/A,FALSE,"혼합골재"}</definedName>
    <definedName name="HHR" hidden="1">{#N/A,#N/A,FALSE,"포장2"}</definedName>
    <definedName name="hikjh" hidden="1">{"'Sheet1'!$A$4","'Sheet1'!$A$9:$G$28"}</definedName>
    <definedName name="hj" hidden="1">#REF!</definedName>
    <definedName name="hjhj" hidden="1">#REF!</definedName>
    <definedName name="HJK" hidden="1">{#N/A,#N/A,FALSE,"이태원철근"}</definedName>
    <definedName name="hkj" localSheetId="0" hidden="1">{#N/A,#N/A,FALSE,"혼합골재"}</definedName>
    <definedName name="hkj" hidden="1">{#N/A,#N/A,FALSE,"혼합골재"}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rbirit" hidden="1">{#N/A,#N/A,FALSE,"배수2"}</definedName>
    <definedName name="hrbjrjy" hidden="1">{#N/A,#N/A,FALSE,"배수2"}</definedName>
    <definedName name="HRH" hidden="1">{#N/A,#N/A,FALSE,"혼합골재"}</definedName>
    <definedName name="HSDGFSJ" localSheetId="0" hidden="1">{#N/A,#N/A,FALSE,"현장 NCR 분석";#N/A,#N/A,FALSE,"현장품질감사";#N/A,#N/A,FALSE,"현장품질감사"}</definedName>
    <definedName name="HSDGFSJ" hidden="1">{#N/A,#N/A,FALSE,"현장 NCR 분석";#N/A,#N/A,FALSE,"현장품질감사";#N/A,#N/A,FALSE,"현장품질감사"}</definedName>
    <definedName name="hsf" hidden="1">{#N/A,#N/A,FALSE,"구조2"}</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jklkjhgfds" hidden="1">{"'Sheet1'!$A$4","'Sheet1'!$A$9:$G$28"}</definedName>
    <definedName name="HTML_CodePage" hidden="1">949</definedName>
    <definedName name="HTML_Control" localSheetId="1" hidden="1">{"'터널공'!$A$177:$A$186"}</definedName>
    <definedName name="HTML_Control" hidden="1">{"'별표'!$N$220"}</definedName>
    <definedName name="HTML_Description" hidden="1">""</definedName>
    <definedName name="HTML_Email" localSheetId="1" hidden="1">""</definedName>
    <definedName name="HTML_Email" hidden="1">"keppler@dava.kepco.co.kr"</definedName>
    <definedName name="HTML_Header" localSheetId="1" hidden="1">"터널공"</definedName>
    <definedName name="HTML_Header" hidden="1">"220승압 기준단가(승압,계기분야)"</definedName>
    <definedName name="HTML_LastUpdate" localSheetId="1" hidden="1">"2000-01-06"</definedName>
    <definedName name="HTML_LastUpdate" hidden="1">"98-05-28"</definedName>
    <definedName name="HTML_LineAfter" hidden="1">FALSE</definedName>
    <definedName name="HTML_LineBefore" localSheetId="1" hidden="1">FALSE</definedName>
    <definedName name="HTML_LineBefore" hidden="1">TRUE</definedName>
    <definedName name="HTML_Name" localSheetId="1" hidden="1">"삼호"</definedName>
    <definedName name="HTML_Name" hidden="1">"이정렬"</definedName>
    <definedName name="HTML_OBDlg2" hidden="1">TRUE</definedName>
    <definedName name="HTML_OBDlg3" hidden="1">TRUE</definedName>
    <definedName name="HTML_OBDlg4" hidden="1">TRUE</definedName>
    <definedName name="HTML_OS" hidden="1">0</definedName>
    <definedName name="HTML_PathFile" localSheetId="1" hidden="1">"C:\My Documents\1혁excel\그외자료\MyHTML.htm"</definedName>
    <definedName name="HTML_PathFile" hidden="1">"D:\My Documents\98기준단가.htm"</definedName>
    <definedName name="HTML_PathTemplate" hidden="1">"C:\prt\My Documents\HTMLTemp.htm"</definedName>
    <definedName name="HTML_Title" localSheetId="1" hidden="1">"내역1"</definedName>
    <definedName name="HTML_Title" hidden="1">"기준단가98상"</definedName>
    <definedName name="HTML1_1" hidden="1">"'[엑셀95-따라하기 문제.xls]인터넷 어시스턴트'!$A$1:$J$18"</definedName>
    <definedName name="HTML1_10" hidden="1">"Marihan@hitel.kol.co.kr"</definedName>
    <definedName name="HTML1_11" hidden="1">1</definedName>
    <definedName name="HTML1_12" hidden="1">"C:\김종완\원고\[작업중] 한빛-엑셀70\CD-ROM문제\따라하기 문제&amp;그림\MyHTML01.htm"</definedName>
    <definedName name="HTML1_2" hidden="1">1</definedName>
    <definedName name="HTML1_3" hidden="1">"엑셀 프로젝트"</definedName>
    <definedName name="HTML1_4" hidden="1">"인터넷 어시스턴트"</definedName>
    <definedName name="HTML1_5" hidden="1">"엑셀 워크시트를 HTML문서로 변환한다. 이 적업은 &lt;한빛 미디어&gt; 책에서만 가능하며, [어린왕자]만의 독특한 아이디어 이다."</definedName>
    <definedName name="HTML1_6" hidden="1">1</definedName>
    <definedName name="HTML1_7" hidden="1">1</definedName>
    <definedName name="HTML1_8" hidden="1">"97-10-09"</definedName>
    <definedName name="HTML1_9" hidden="1">"김종완/어린왕자"</definedName>
    <definedName name="Htmlcontrol" hidden="1">{"'Sheet1'!$A$4","'Sheet1'!$A$9:$G$28"}</definedName>
    <definedName name="HTMLCount" hidden="1">1</definedName>
    <definedName name="HTR" hidden="1">{#N/A,#N/A,FALSE,"이태원철근"}</definedName>
    <definedName name="HYP" hidden="1">#REF!</definedName>
    <definedName name="ICGHJ" hidden="1">{#N/A,#N/A,FALSE,"조골재"}</definedName>
    <definedName name="ICGY" hidden="1">{#N/A,#N/A,FALSE,"조골재"}</definedName>
    <definedName name="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jj" hidden="1">{#N/A,#N/A,FALSE,"골재소요량";#N/A,#N/A,FALSE,"골재소요량"}</definedName>
    <definedName name="ILLIL" hidden="1">{#N/A,#N/A,FALSE,"2~8번"}</definedName>
    <definedName name="ILULILI" hidden="1">{#N/A,#N/A,FALSE,"단가표지"}</definedName>
    <definedName name="INV" hidden="1">{#N/A,#N/A,FALSE,"UNIT";#N/A,#N/A,FALSE,"UNIT";#N/A,#N/A,FALSE,"계정"}</definedName>
    <definedName name="Inverter" hidden="1">{#N/A,#N/A,FALSE,"UNIT";#N/A,#N/A,FALSE,"UNIT";#N/A,#N/A,FALSE,"계정"}</definedName>
    <definedName name="IOIOIOIO" hidden="1">{#N/A,#N/A,FALSE,"표지목차"}</definedName>
    <definedName name="iopu" hidden="1">{#N/A,#N/A,FALSE,"속도"}</definedName>
    <definedName name="iouo" hidden="1">{#N/A,#N/A,FALSE,"배수2"}</definedName>
    <definedName name="ioup" hidden="1">{#N/A,#N/A,FALSE,"속도"}</definedName>
    <definedName name="ITY" hidden="1">{#N/A,#N/A,FALSE,"2~8번"}</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 hidden="1">#REF!</definedName>
    <definedName name="JAHSG" localSheetId="0" hidden="1">{#N/A,#N/A,FALSE,"현장 NCR 분석";#N/A,#N/A,FALSE,"현장품질감사";#N/A,#N/A,FALSE,"현장품질감사"}</definedName>
    <definedName name="JAHSG" hidden="1">{#N/A,#N/A,FALSE,"현장 NCR 분석";#N/A,#N/A,FALSE,"현장품질감사";#N/A,#N/A,FALSE,"현장품질감사"}</definedName>
    <definedName name="jahsgie" localSheetId="0" hidden="1">{#N/A,#N/A,FALSE,"현장 NCR 분석";#N/A,#N/A,FALSE,"현장품질감사";#N/A,#N/A,FALSE,"현장품질감사"}</definedName>
    <definedName name="jahsgie" hidden="1">{#N/A,#N/A,FALSE,"현장 NCR 분석";#N/A,#N/A,FALSE,"현장품질감사";#N/A,#N/A,FALSE,"현장품질감사"}</definedName>
    <definedName name="jd" hidden="1">{#N/A,#N/A,FALSE,"2~8번"}</definedName>
    <definedName name="JDFHERHGFHJ" hidden="1">{#N/A,#N/A,FALSE,"포장2"}</definedName>
    <definedName name="JDFHERHGFJFD" hidden="1">{#N/A,#N/A,FALSE,"포장1";#N/A,#N/A,FALSE,"포장1"}</definedName>
    <definedName name="JDFHETHGFJ" hidden="1">{#N/A,#N/A,FALSE,"조골재"}</definedName>
    <definedName name="JDFHFDJDNDHT" hidden="1">{#N/A,#N/A,FALSE,"토공2"}</definedName>
    <definedName name="JDHDFHERHG" hidden="1">{#N/A,#N/A,FALSE,"이정표"}</definedName>
    <definedName name="JDHGEHGFGJRTYJHFG" hidden="1">{#N/A,#N/A,FALSE,"구조1"}</definedName>
    <definedName name="jey" localSheetId="0" hidden="1">{#N/A,#N/A,FALSE,"현장 NCR 분석";#N/A,#N/A,FALSE,"현장품질감사";#N/A,#N/A,FALSE,"현장품질감사"}</definedName>
    <definedName name="jey" hidden="1">{#N/A,#N/A,FALSE,"현장 NCR 분석";#N/A,#N/A,FALSE,"현장품질감사";#N/A,#N/A,FALSE,"현장품질감사"}</definedName>
    <definedName name="jf" hidden="1">{#N/A,#N/A,FALSE,"이정표"}</definedName>
    <definedName name="jfjh" hidden="1">{#N/A,#N/A,FALSE,"표지목차"}</definedName>
    <definedName name="jgfjghfj" hidden="1">#N/A</definedName>
    <definedName name="JGH" hidden="1">{#N/A,#N/A,FALSE,"골재소요량";#N/A,#N/A,FALSE,"골재소요량"}</definedName>
    <definedName name="jhas" hidden="1">{#N/A,#N/A,FALSE,"2~8번"}</definedName>
    <definedName name="jhg" hidden="1">{#N/A,#N/A,FALSE,"2~8번"}</definedName>
    <definedName name="JHGJ" hidden="1">{#N/A,#N/A,FALSE,"운반시간"}</definedName>
    <definedName name="jhjg" localSheetId="0" hidden="1">{#N/A,#N/A,FALSE,"조골재"}</definedName>
    <definedName name="jhjg" hidden="1">{#N/A,#N/A,FALSE,"조골재"}</definedName>
    <definedName name="jhjh" localSheetId="0" hidden="1">{#N/A,#N/A,FALSE,"표지목차"}</definedName>
    <definedName name="jhjh" hidden="1">{#N/A,#N/A,FALSE,"표지목차"}</definedName>
    <definedName name="jhjhjh" hidden="1">#REF!</definedName>
    <definedName name="jii" hidden="1">{#N/A,#N/A,FALSE,"골재소요량";#N/A,#N/A,FALSE,"골재소요량"}</definedName>
    <definedName name="j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j" hidden="1">{#N/A,#N/A,FALSE,"운반시간"}</definedName>
    <definedName name="JJJJJJJ" hidden="1">{#N/A,#N/A,FALSE,"단면 제원"}</definedName>
    <definedName name="jjk" hidden="1">{#N/A,#N/A,FALSE,"조골재"}</definedName>
    <definedName name="jk" hidden="1">{#N/A,#N/A,FALSE,"표지목차"}</definedName>
    <definedName name="jkhjk" hidden="1">{#N/A,#N/A,FALSE,"현장 NCR 분석";#N/A,#N/A,FALSE,"현장품질감사";#N/A,#N/A,FALSE,"현장품질감사"}</definedName>
    <definedName name="JKJKJKJK" hidden="1">{#N/A,#N/A,FALSE,"포장1";#N/A,#N/A,FALSE,"포장1"}</definedName>
    <definedName name="jub" hidden="1">{#N/A,#N/A,FALSE,"양식(을)"}</definedName>
    <definedName name="juju" hidden="1">#REF!</definedName>
    <definedName name="jun" hidden="1">#REF!</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rwe" hidden="1">{#N/A,#N/A,FALSE,"조골재"}</definedName>
    <definedName name="jytrtysr" hidden="1">{#N/A,#N/A,FALSE,"조골재"}</definedName>
    <definedName name="J엄차현" hidden="1">#REF!</definedName>
    <definedName name="k1공장" hidden="1">{#N/A,#N/A,TRUE,"Y생산";#N/A,#N/A,TRUE,"Y판매";#N/A,#N/A,TRUE,"Y총물량";#N/A,#N/A,TRUE,"Y능력";#N/A,#N/A,TRUE,"YKD"}</definedName>
    <definedName name="kddas" hidden="1">{#N/A,#N/A,FALSE,"포장1";#N/A,#N/A,FALSE,"포장1"}</definedName>
    <definedName name="key" hidden="1">#REF!</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GHYH" hidden="1">{#N/A,#N/A,FALSE,"혼합골재"}</definedName>
    <definedName name="KFGJGFJGHGRJGH" hidden="1">{#N/A,#N/A,FALSE,"부대1"}</definedName>
    <definedName name="KFGJREYDFHFD" hidden="1">{#N/A,#N/A,FALSE,"속도"}</definedName>
    <definedName name="KGFJHGJGH" hidden="1">{#N/A,#N/A,FALSE,"2~8번"}</definedName>
    <definedName name="khl" hidden="1">{#N/A,#N/A,FALSE,"2~8번"}</definedName>
    <definedName name="KIM" hidden="1">{#N/A,#N/A,FALSE,"단축1";#N/A,#N/A,FALSE,"단축2";#N/A,#N/A,FALSE,"단축3";#N/A,#N/A,FALSE,"장축";#N/A,#N/A,FALSE,"4WD"}</definedName>
    <definedName name="kin" hidden="1">{#N/A,#N/A,FALSE,"혼합골재"}</definedName>
    <definedName name="kiyg" localSheetId="0" hidden="1">{#N/A,#N/A,FALSE,"현장 NCR 분석";#N/A,#N/A,FALSE,"현장품질감사";#N/A,#N/A,FALSE,"현장품질감사"}</definedName>
    <definedName name="kiyg" hidden="1">{#N/A,#N/A,FALSE,"현장 NCR 분석";#N/A,#N/A,FALSE,"현장품질감사";#N/A,#N/A,FALSE,"현장품질감사"}</definedName>
    <definedName name="kj" hidden="1">{#N/A,#N/A,FALSE,"운반시간"}</definedName>
    <definedName name="kjg" localSheetId="0" hidden="1">{#N/A,#N/A,FALSE,"조골재"}</definedName>
    <definedName name="kjg" hidden="1">{#N/A,#N/A,FALSE,"조골재"}</definedName>
    <definedName name="KJGHJG" hidden="1">{#N/A,#N/A,FALSE,"배수2"}</definedName>
    <definedName name="kjj" hidden="1">{#N/A,#N/A,FALSE,"조골재"}</definedName>
    <definedName name="KJJHJDFF" hidden="1">"99-02-10"</definedName>
    <definedName name="kjjjjj" hidden="1">#REF!</definedName>
    <definedName name="KJKJ" hidden="1">#REF!</definedName>
    <definedName name="kk" localSheetId="1" hidden="1">#REF!</definedName>
    <definedName name="kk" hidden="1">#REF!</definedName>
    <definedName name="kkk" hidden="1">#REF!</definedName>
    <definedName name="kkkk" hidden="1">{#N/A,#N/A,FALSE,"현장 NCR 분석";#N/A,#N/A,FALSE,"현장품질감사";#N/A,#N/A,FALSE,"현장품질감사"}</definedName>
    <definedName name="kl" hidden="1">{#N/A,#N/A,FALSE,"단가표지"}</definedName>
    <definedName name="KLLKLKLK" hidden="1">{#N/A,#N/A,FALSE,"포장2"}</definedName>
    <definedName name="knj" hidden="1">{#N/A,#N/A,FALSE,"혼합골재"}</definedName>
    <definedName name="kpqeiwri" hidden="1">#REF!</definedName>
    <definedName name="KS" hidden="1">{#N/A,#N/A,FALSE,"지침";#N/A,#N/A,FALSE,"환경분석";#N/A,#N/A,FALSE,"Sheet16"}</definedName>
    <definedName name="ksad" hidden="1">{#N/A,#N/A,FALSE,"토공2"}</definedName>
    <definedName name="ksk" hidden="1">#REF!</definedName>
    <definedName name="ktf" hidden="1">#REF!</definedName>
    <definedName name="kty" hidden="1">#REF!</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ytjnjr" hidden="1">{#N/A,#N/A,FALSE,"토공2"}</definedName>
    <definedName name="LC산출" hidden="1">{#N/A,#N/A,FALSE,"사업총괄";#N/A,#N/A,FALSE,"장비사업";#N/A,#N/A,FALSE,"철구사업";#N/A,#N/A,FALSE,"준설사업"}</definedName>
    <definedName name="ldfjesoi" localSheetId="0" hidden="1">{#N/A,#N/A,FALSE,"현장 NCR 분석";#N/A,#N/A,FALSE,"현장품질감사";#N/A,#N/A,FALSE,"현장품질감사"}</definedName>
    <definedName name="ldfjesoi" hidden="1">{#N/A,#N/A,FALSE,"현장 NCR 분석";#N/A,#N/A,FALSE,"현장품질감사";#N/A,#N/A,FALSE,"현장품질감사"}</definedName>
    <definedName name="LEE" localSheetId="0" hidden="1">{#N/A,#N/A,FALSE,"구조2"}</definedName>
    <definedName name="LEE" hidden="1">{#N/A,#N/A,FALSE,"구조2"}</definedName>
    <definedName name="LG" hidden="1">{#N/A,#N/A,FALSE,"현장 NCR 분석";#N/A,#N/A,FALSE,"현장품질감사";#N/A,#N/A,FALSE,"현장품질감사"}</definedName>
    <definedName name="lijop" hidden="1">{#N/A,#N/A,FALSE,"배수1"}</definedName>
    <definedName name="LINE검토2" hidden="1">{#N/A,#N/A,TRUE,"Y생산";#N/A,#N/A,TRUE,"Y판매";#N/A,#N/A,TRUE,"Y총물량";#N/A,#N/A,TRUE,"Y능력";#N/A,#N/A,TRUE,"YKD"}</definedName>
    <definedName name="LIUJHG" hidden="1">#REF!</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kj" hidden="1">{#N/A,#N/A,FALSE,"현장 NCR 분석";#N/A,#N/A,FALSE,"현장품질감사";#N/A,#N/A,FALSE,"현장품질감사"}</definedName>
    <definedName name="ljkㅏㅎ" hidden="1">{#N/A,#N/A,FALSE,"2~8번"}</definedName>
    <definedName name="LKJO" hidden="1">{#N/A,#N/A,FALSE,"혼합골재"}</definedName>
    <definedName name="LLL" hidden="1">{#N/A,#N/A,FALSE,"포장단가"}</definedName>
    <definedName name="llll" hidden="1">{#N/A,#N/A,FALSE,"전력간선"}</definedName>
    <definedName name="lo" hidden="1">{#N/A,#N/A,FALSE,"2~8번"}</definedName>
    <definedName name="luj" hidden="1">{"'Sheet1'!$A$4","'Sheet1'!$A$9:$G$28"}</definedName>
    <definedName name="LY" hidden="1">#REF!</definedName>
    <definedName name="L형측구깨기" hidden="1">{#N/A,#N/A,FALSE,"2~8번"}</definedName>
    <definedName name="m" hidden="1">#REF!</definedName>
    <definedName name="MH향상" hidden="1">{#N/A,#N/A,TRUE,"Y생산";#N/A,#N/A,TRUE,"Y판매";#N/A,#N/A,TRUE,"Y총물량";#N/A,#N/A,TRUE,"Y능력";#N/A,#N/A,TRUE,"YKD"}</definedName>
    <definedName name="mjmj" hidden="1">#REF!</definedName>
    <definedName name="mm" hidden="1">{#N/A,#N/A,TRUE,"토적및재료집계";#N/A,#N/A,TRUE,"토적및재료집계";#N/A,#N/A,TRUE,"단위량"}</definedName>
    <definedName name="mmmm" hidden="1">{#N/A,#N/A,FALSE,"현장 NCR 분석";#N/A,#N/A,FALSE,"현장품질감사";#N/A,#N/A,FALSE,"현장품질감사"}</definedName>
    <definedName name="n" localSheetId="0" hidden="1">#REF!</definedName>
    <definedName name="n" hidden="1">#REF!</definedName>
    <definedName name="ncr" hidden="1">{#N/A,#N/A,FALSE,"현장 NCR 분석";#N/A,#N/A,FALSE,"현장품질감사";#N/A,#N/A,FALSE,"현장품질감사"}</definedName>
    <definedName name="new" hidden="1">#REF!</definedName>
    <definedName name="NEWNAME" localSheetId="0" hidden="1">{#N/A,#N/A,FALSE,"CCTV"}</definedName>
    <definedName name="NEWNAME" hidden="1">{#N/A,#N/A,FALSE,"CCTV"}</definedName>
    <definedName name="NF" hidden="1">{#N/A,#N/A,FALSE,"표지목차"}</definedName>
    <definedName name="N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nhnhd" hidden="1">#REF!</definedName>
    <definedName name="NNNN"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NNNN" hidden="1">{#N/A,#N/A,FALSE,"지침";#N/A,#N/A,FALSE,"환경분석";#N/A,#N/A,FALSE,"Sheet16"}</definedName>
    <definedName name="NONE" hidden="1">#REF!</definedName>
    <definedName name="ODD" hidden="1">{#N/A,#N/A,FALSE,"명세표"}</definedName>
    <definedName name="OFU" hidden="1">{#N/A,#N/A,FALSE,"단가표지"}</definedName>
    <definedName name="OFYUI" hidden="1">{#N/A,#N/A,FALSE,"골재소요량";#N/A,#N/A,FALSE,"골재소요량"}</definedName>
    <definedName name="OH" hidden="1">{#N/A,#N/A,FALSE,"명세표"}</definedName>
    <definedName name="OHH" hidden="1">{#N/A,#N/A,FALSE,"명세표"}</definedName>
    <definedName name="oi8uip" hidden="1">{#N/A,#N/A,FALSE,"이정표"}</definedName>
    <definedName name="oik" hidden="1">{#N/A,#N/A,FALSE,"2~8번"}</definedName>
    <definedName name="oiuo" hidden="1">{#N/A,#N/A,FALSE,"배수2"}</definedName>
    <definedName name="oiuyo" hidden="1">{#N/A,#N/A,FALSE,"부대1"}</definedName>
    <definedName name="ok" hidden="1">{#N/A,#N/A,FALSE,"2~8번"}</definedName>
    <definedName name="old예산" hidden="1">{#N/A,#N/A,TRUE,"손익보고"}</definedName>
    <definedName name="ONP" hidden="1">#REF!</definedName>
    <definedName name="ooo" hidden="1">{#N/A,#N/A,FALSE,"현장 NCR 분석";#N/A,#N/A,FALSE,"현장품질감사";#N/A,#N/A,FALSE,"현장품질감사"}</definedName>
    <definedName name="oplk" hidden="1">{"'Sheet1'!$A$4","'Sheet1'!$A$9:$G$28"}</definedName>
    <definedName name="OPOP" hidden="1">#REF!</definedName>
    <definedName name="OPP" hidden="1">#REF!</definedName>
    <definedName name="OPPP" hidden="1">#REF!</definedName>
    <definedName name="ORDER1" hidden="1">255</definedName>
    <definedName name="ORDER2" hidden="1">255</definedName>
    <definedName name="OUG" hidden="1">{#N/A,#N/A,FALSE,"운반시간"}</definedName>
    <definedName name="OUHFVK" hidden="1">{#N/A,#N/A,FALSE,"표지목차"}</definedName>
    <definedName name="ouio" hidden="1">{#N/A,#N/A,FALSE,"부대2"}</definedName>
    <definedName name="OVERLAY" hidden="1">{#N/A,#N/A,FALSE,"2~8번"}</definedName>
    <definedName name="owoel" hidden="1">#REF!</definedName>
    <definedName name="OY" hidden="1">{#N/A,#N/A,FALSE,"혼합골재"}</definedName>
    <definedName name="OYUOFV" hidden="1">{#N/A,#N/A,FALSE,"조골재"}</definedName>
    <definedName name="P3가공향상" hidden="1">{#N/A,#N/A,TRUE,"Y생산";#N/A,#N/A,TRUE,"Y판매";#N/A,#N/A,TRUE,"Y총물량";#N/A,#N/A,TRUE,"Y능력";#N/A,#N/A,TRUE,"YKD"}</definedName>
    <definedName name="piiuer" hidden="1">#REF!</definedName>
    <definedName name="POI" hidden="1">#REF!</definedName>
    <definedName name="popo" hidden="1">#REF!</definedName>
    <definedName name="p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PK" hidden="1">{#N/A,#N/A,FALSE,"96 3월물량표";#N/A,#N/A,FALSE,"96 4월물량표";#N/A,#N/A,FALSE,"96 5월물량표"}</definedName>
    <definedName name="ppppoi" hidden="1">#REF!</definedName>
    <definedName name="pppppo" hidden="1">#REF!</definedName>
    <definedName name="_xlnm.Print_Area" localSheetId="0">명세서_철거!$A$6:$AF$47</definedName>
    <definedName name="_xlnm.Print_Area" localSheetId="1">증빙_철거!$A$4:$P$203</definedName>
    <definedName name="_xlnm.Print_Titles" localSheetId="0">명세서_철거!$1:$5</definedName>
    <definedName name="_xlnm.Print_Titles" localSheetId="1">증빙_철거!$1:$3</definedName>
    <definedName name="psie" hidden="1">#REF!</definedName>
    <definedName name="q" localSheetId="0" hidden="1">#REF!</definedName>
    <definedName name="q" hidden="1">{#N/A,#N/A,FALSE,"현장 NCR 분석";#N/A,#N/A,FALSE,"현장품질감사";#N/A,#N/A,FALSE,"현장품질감사"}</definedName>
    <definedName name="q00" hidden="1">{#N/A,#N/A,FALSE,"운반시간"}</definedName>
    <definedName name="Q3WEE" hidden="1">{#N/A,#N/A,FALSE,"조골재"}</definedName>
    <definedName name="qa" localSheetId="0" hidden="1">{#N/A,#N/A,FALSE,"속도"}</definedName>
    <definedName name="qa" hidden="1">{#N/A,#N/A,FALSE,"속도"}</definedName>
    <definedName name="qaa" localSheetId="0" hidden="1">{#N/A,#N/A,FALSE,"속도"}</definedName>
    <definedName name="qaa" hidden="1">{#N/A,#N/A,FALSE,"속도"}</definedName>
    <definedName name="qaaa" localSheetId="0" hidden="1">{#N/A,#N/A,FALSE,"속도"}</definedName>
    <definedName name="qaaa" hidden="1">{#N/A,#N/A,FALSE,"속도"}</definedName>
    <definedName name="qb" localSheetId="0" hidden="1">{#N/A,#N/A,FALSE,"2~8번"}</definedName>
    <definedName name="qb" hidden="1">{#N/A,#N/A,FALSE,"2~8번"}</definedName>
    <definedName name="qbb" localSheetId="0" hidden="1">{#N/A,#N/A,FALSE,"2~8번"}</definedName>
    <definedName name="qbb" hidden="1">{#N/A,#N/A,FALSE,"2~8번"}</definedName>
    <definedName name="qedgagsd" hidden="1">#REF!</definedName>
    <definedName name="qewewre" hidden="1">#REF!</definedName>
    <definedName name="QFQF" hidden="1">#REF!</definedName>
    <definedName name="QHQN" hidden="1">{#N/A,#N/A,FALSE,"손익표지";#N/A,#N/A,FALSE,"손익계산";#N/A,#N/A,FALSE,"일반관리비";#N/A,#N/A,FALSE,"영업외수익";#N/A,#N/A,FALSE,"영업외비용";#N/A,#N/A,FALSE,"매출액";#N/A,#N/A,FALSE,"요약손익";#N/A,#N/A,FALSE,"요약대차";#N/A,#N/A,FALSE,"매출채권현황";#N/A,#N/A,FALSE,"매출채권명세"}</definedName>
    <definedName name="qkqh1" hidden="1">{#N/A,#N/A,FALSE,"명세표"}</definedName>
    <definedName name="qlty" hidden="1">{#N/A,#N/A,TRUE,"Y생산";#N/A,#N/A,TRUE,"Y판매";#N/A,#N/A,TRUE,"Y총물량";#N/A,#N/A,TRUE,"Y능력";#N/A,#N/A,TRUE,"YKD"}</definedName>
    <definedName name="qor" localSheetId="0" hidden="1">#REF!</definedName>
    <definedName name="qor" hidden="1">#REF!</definedName>
    <definedName name="QP" hidden="1">{#N/A,#N/A,FALSE,"단가표지"}</definedName>
    <definedName name="qq" localSheetId="0" hidden="1">{#N/A,#N/A,FALSE,"단가표지"}</definedName>
    <definedName name="QQ" hidden="1">{#N/A,#N/A,FALSE,"2~8번"}</definedName>
    <definedName name="qq_1" hidden="1">{#N/A,#N/A,FALSE,"운반시간"}</definedName>
    <definedName name="QQQ" hidden="1">#REF!</definedName>
    <definedName name="QQQAAASSS" hidden="1">{#N/A,#N/A,TRUE,"Y생산";#N/A,#N/A,TRUE,"Y판매";#N/A,#N/A,TRUE,"Y총물량";#N/A,#N/A,TRUE,"Y능력";#N/A,#N/A,TRUE,"YKD"}</definedName>
    <definedName name="qqqqqq" hidden="1">{"'Sheet1'!$A$4","'Sheet1'!$A$9:$G$28"}</definedName>
    <definedName name="qqqqqqq" hidden="1">{#N/A,#N/A,FALSE,"골재소요량";#N/A,#N/A,FALSE,"골재소요량"}</definedName>
    <definedName name="qqqqqqqq" hidden="1">{"'경비표'!$A$1:$H$299","'경비표'!$G$174","'경비표'!$A$1:$H$1"}</definedName>
    <definedName name="qqqqqqqqq" hidden="1">{#N/A,#N/A,TRUE,"Y생산";#N/A,#N/A,TRUE,"Y판매";#N/A,#N/A,TRUE,"Y총물량";#N/A,#N/A,TRUE,"Y능력";#N/A,#N/A,TRUE,"YKD"}</definedName>
    <definedName name="qrq" hidden="1">{#N/A,#N/A,FALSE,"표지목차"}</definedName>
    <definedName name="qrqer" hidden="1">#REF!</definedName>
    <definedName name="qsdf" localSheetId="0" hidden="1">{"'Firr(선)'!$AS$1:$AY$62","'Firr(사)'!$AS$1:$AY$62","'Firr(회)'!$AS$1:$AY$62","'Firr(선)'!$L$1:$V$62","'Firr(사)'!$L$1:$V$62","'Firr(회)'!$L$1:$V$62"}</definedName>
    <definedName name="qsdf" hidden="1">{"'Firr(선)'!$AS$1:$AY$62","'Firr(사)'!$AS$1:$AY$62","'Firr(회)'!$AS$1:$AY$62","'Firr(선)'!$L$1:$V$62","'Firr(사)'!$L$1:$V$62","'Firr(회)'!$L$1:$V$62"}</definedName>
    <definedName name="qtqtqqt" hidden="1">{"'경비표'!$A$1:$H$299","'경비표'!$G$174","'경비표'!$A$1:$H$1"}</definedName>
    <definedName name="qw" localSheetId="0" hidden="1">{#N/A,#N/A,FALSE,"단가표지"}</definedName>
    <definedName name="qw" localSheetId="1" hidden="1">{#N/A,#N/A,FALSE,"단가표지"}</definedName>
    <definedName name="qw" hidden="1">{#N/A,#N/A,FALSE,"단가표지"}</definedName>
    <definedName name="qwan" localSheetId="0" hidden="1">{#N/A,#N/A,FALSE,"2~8번"}</definedName>
    <definedName name="qwan" hidden="1">{#N/A,#N/A,FALSE,"2~8번"}</definedName>
    <definedName name="qwe" localSheetId="0" hidden="1">#REF!</definedName>
    <definedName name="QWE" hidden="1">{#N/A,#N/A,FALSE,"이태원철근"}</definedName>
    <definedName name="QWER" hidden="1">{#N/A,#N/A,FALSE,"이태원철근"}</definedName>
    <definedName name="qwerdg" hidden="1">#REF!</definedName>
    <definedName name="qwerqerwr" hidden="1">#REF!</definedName>
    <definedName name="QWERQWER" hidden="1">#REF!</definedName>
    <definedName name="QWERRTT" hidden="1">{#N/A,#N/A,FALSE,"Sheet1"}</definedName>
    <definedName name="QWERT" hidden="1">#REF!</definedName>
    <definedName name="qwq" hidden="1">{#N/A,#N/A,FALSE,"단가표지"}</definedName>
    <definedName name="QWQED" hidden="1">{#N/A,#N/A,FALSE,"혼합골재"}</definedName>
    <definedName name="qwrn10" localSheetId="0" hidden="1">{#N/A,#N/A,FALSE,"이정표"}</definedName>
    <definedName name="qwrn10" hidden="1">{#N/A,#N/A,FALSE,"이정표"}</definedName>
    <definedName name="qwrn11" localSheetId="0" hidden="1">{#N/A,#N/A,FALSE,"조골재"}</definedName>
    <definedName name="qwrn11" hidden="1">{#N/A,#N/A,FALSE,"조골재"}</definedName>
    <definedName name="qwrn12" localSheetId="0" hidden="1">{#N/A,#N/A,FALSE,"구조1"}</definedName>
    <definedName name="qwrn12" hidden="1">{#N/A,#N/A,FALSE,"구조1"}</definedName>
    <definedName name="qwrn13" localSheetId="0" hidden="1">{#N/A,#N/A,FALSE,"토공2"}</definedName>
    <definedName name="qwrn13" hidden="1">{#N/A,#N/A,FALSE,"토공2"}</definedName>
    <definedName name="qwrn14" localSheetId="0" hidden="1">{#N/A,#N/A,FALSE,"포장1";#N/A,#N/A,FALSE,"포장1"}</definedName>
    <definedName name="qwrn14" hidden="1">{#N/A,#N/A,FALSE,"포장1";#N/A,#N/A,FALSE,"포장1"}</definedName>
    <definedName name="qwrn15" localSheetId="0" hidden="1">{#N/A,#N/A,FALSE,"포장2"}</definedName>
    <definedName name="qwrn15" hidden="1">{#N/A,#N/A,FALSE,"포장2"}</definedName>
    <definedName name="qwrn16" localSheetId="0" hidden="1">{#N/A,#N/A,FALSE,"표지목차"}</definedName>
    <definedName name="qwrn16" hidden="1">{#N/A,#N/A,FALSE,"표지목차"}</definedName>
    <definedName name="qwrn17" localSheetId="0" hidden="1">{#N/A,#N/A,FALSE,"혼합골재"}</definedName>
    <definedName name="qwrn17" hidden="1">{#N/A,#N/A,FALSE,"혼합골재"}</definedName>
    <definedName name="qwrn2" localSheetId="0" hidden="1">{#N/A,#N/A,FALSE,"구조2"}</definedName>
    <definedName name="qwrn2" hidden="1">{#N/A,#N/A,FALSE,"구조2"}</definedName>
    <definedName name="qwrn3" localSheetId="0" hidden="1">{#N/A,#N/A,FALSE,"단가표지"}</definedName>
    <definedName name="qwrn3" hidden="1">{#N/A,#N/A,FALSE,"단가표지"}</definedName>
    <definedName name="qwrn4" localSheetId="0" hidden="1">{#N/A,#N/A,FALSE,"배수1"}</definedName>
    <definedName name="qwrn4" hidden="1">{#N/A,#N/A,FALSE,"배수1"}</definedName>
    <definedName name="qwrn5" localSheetId="0" hidden="1">{#N/A,#N/A,FALSE,"배수2"}</definedName>
    <definedName name="qwrn5" hidden="1">{#N/A,#N/A,FALSE,"배수2"}</definedName>
    <definedName name="qwrn6" localSheetId="0" hidden="1">{#N/A,#N/A,FALSE,"부대1"}</definedName>
    <definedName name="qwrn6" hidden="1">{#N/A,#N/A,FALSE,"부대1"}</definedName>
    <definedName name="qwrn7" localSheetId="0" hidden="1">{#N/A,#N/A,FALSE,"부대2"}</definedName>
    <definedName name="qwrn7" hidden="1">{#N/A,#N/A,FALSE,"부대2"}</definedName>
    <definedName name="qwrn8" localSheetId="0" hidden="1">{#N/A,#N/A,FALSE,"속도"}</definedName>
    <definedName name="qwrn8" hidden="1">{#N/A,#N/A,FALSE,"속도"}</definedName>
    <definedName name="qwrn9" localSheetId="0" hidden="1">{#N/A,#N/A,FALSE,"운반시간"}</definedName>
    <definedName name="qwrn9" hidden="1">{#N/A,#N/A,FALSE,"운반시간"}</definedName>
    <definedName name="qwrnn" localSheetId="0" hidden="1">{#N/A,#N/A,FALSE,"골재소요량";#N/A,#N/A,FALSE,"골재소요량"}</definedName>
    <definedName name="qwrnn" hidden="1">{#N/A,#N/A,FALSE,"골재소요량";#N/A,#N/A,FALSE,"골재소요량"}</definedName>
    <definedName name="qwrt" hidden="1">{#N/A,#N/A,FALSE,"골재소요량";#N/A,#N/A,FALSE,"골재소요량"}</definedName>
    <definedName name="ramp.c" hidden="1">{#N/A,#N/A,FALSE,"집계";#N/A,#N/A,FALSE,"철근";#N/A,#N/A,FALSE,"외봉육교(교대A1)";#N/A,#N/A,FALSE,"외봉육교(교대A2)"}</definedName>
    <definedName name="rarasfsda" hidden="1">{#N/A,#N/A,FALSE,"이정표"}</definedName>
    <definedName name="rasfsafsafdsa" hidden="1">{#N/A,#N/A,FALSE,"조골재"}</definedName>
    <definedName name="re" hidden="1">{#N/A,#N/A,FALSE,"부대1"}</definedName>
    <definedName name="RERE" hidden="1">#REF!</definedName>
    <definedName name="rererere" hidden="1">#REF!</definedName>
    <definedName name="RET" hidden="1">{#N/A,#N/A,FALSE,"조골재"}</definedName>
    <definedName name="RETRH" hidden="1">{#N/A,#N/A,FALSE,"현장 NCR 분석";#N/A,#N/A,FALSE,"현장품질감사";#N/A,#N/A,FALSE,"현장품질감사"}</definedName>
    <definedName name="RETYRE" hidden="1">{#N/A,#N/A,FALSE,"골재소요량";#N/A,#N/A,FALSE,"골재소요량"}</definedName>
    <definedName name="REW" hidden="1">#N/A</definedName>
    <definedName name="rfaag" hidden="1">{#N/A,#N/A,FALSE,"전열산출서"}</definedName>
    <definedName name="RFYIFIOYGOPIO" hidden="1">#REF!</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0" hidden="1">{#N/A,#N/A,FALSE,"현장 NCR 분석";#N/A,#N/A,FALSE,"현장품질감사";#N/A,#N/A,FALSE,"현장품질감사"}</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tghg" hidden="1">{#N/A,#N/A,FALSE,"이정표"}</definedName>
    <definedName name="RHDT" hidden="1">#REF!</definedName>
    <definedName name="rhf" hidden="1">#REF!</definedName>
    <definedName name="rjfl" hidden="1">#REF!</definedName>
    <definedName name="rk" hidden="1">{#N/A,#N/A,FALSE,"현장 NCR 분석";#N/A,#N/A,FALSE,"현장품질감사";#N/A,#N/A,FALSE,"현장품질감사"}</definedName>
    <definedName name="rkdkd" hidden="1">{#N/A,#N/A,FALSE,"2~8번"}</definedName>
    <definedName name="rks" hidden="1">{#N/A,#N/A,FALSE,"구조2"}</definedName>
    <definedName name="RKSK"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s" hidden="1">{#N/A,#N/A,FALSE,"부대1"}</definedName>
    <definedName name="rksss" hidden="1">{#N/A,#N/A,FALSE,"부대2"}</definedName>
    <definedName name="rkssss" hidden="1">{#N/A,#N/A,FALSE,"속도"}</definedName>
    <definedName name="rkswjq2." hidden="1">{#N/A,#N/A,FALSE,"현장 NCR 분석";#N/A,#N/A,FALSE,"현장품질감사";#N/A,#N/A,FALSE,"현장품질감사"}</definedName>
    <definedName name="RLA" hidden="1">{#N/A,#N/A,TRUE,"Y생산";#N/A,#N/A,TRUE,"Y판매";#N/A,#N/A,TRUE,"Y총물량";#N/A,#N/A,TRUE,"Y능력";#N/A,#N/A,TRUE,"YKD"}</definedName>
    <definedName name="rlch.ncr" hidden="1">{#N/A,#N/A,FALSE,"현장 NCR 분석";#N/A,#N/A,FALSE,"현장품질감사";#N/A,#N/A,FALSE,"현장품질감사"}</definedName>
    <definedName name="RNSEO" hidden="1">{#N/A,#N/A,FALSE,"현장 NCR 분석";#N/A,#N/A,FALSE,"현장품질감사";#N/A,#N/A,FALSE,"현장품질감사"}</definedName>
    <definedName name="ro" hidden="1">{#N/A,#N/A,FALSE,"2~8번"}</definedName>
    <definedName name="Royalty" hidden="1">{#N/A,#N/A,FALSE,"Sheet1"}</definedName>
    <definedName name="rr" localSheetId="0" hidden="1">{#N/A,#N/A,FALSE,"2~8번"}</definedName>
    <definedName name="rr" hidden="1">{"'Sheet1'!$A$4","'Sheet1'!$A$9:$G$28"}</definedName>
    <definedName name="rrr" localSheetId="0" hidden="1">{#N/A,#N/A,FALSE,"운반시간"}</definedName>
    <definedName name="RRR" hidden="1">{#N/A,#N/A,FALSE,"포장2"}</definedName>
    <definedName name="rrrrr" hidden="1">{#N/A,#N/A,FALSE,"조골재"}</definedName>
    <definedName name="rsaraf" hidden="1">{#N/A,#N/A,FALSE,"운반시간"}</definedName>
    <definedName name="RTEEEEEEEE" hidden="1">{#N/A,#N/A,FALSE,"부대2"}</definedName>
    <definedName name="RTERTE" hidden="1">{#N/A,#N/A,FALSE,"조골재"}</definedName>
    <definedName name="RTJSJG" hidden="1">#REF!</definedName>
    <definedName name="RTV" hidden="1">{#N/A,#N/A,FALSE,"표지목차"}</definedName>
    <definedName name="ruswjr1" hidden="1">{#N/A,#N/A,FALSE,"현장 NCR 분석";#N/A,#N/A,FALSE,"현장품질감사";#N/A,#N/A,FALSE,"현장품질감사"}</definedName>
    <definedName name="rwe6vtd" hidden="1">{#N/A,#N/A,FALSE,"표지목차"}</definedName>
    <definedName name="rwered" hidden="1">#REF!</definedName>
    <definedName name="rwref" hidden="1">#REF!</definedName>
    <definedName name="ryescerfwe" hidden="1">{#N/A,#N/A,FALSE,"부대2"}</definedName>
    <definedName name="sa" hidden="1">{#N/A,#N/A,FALSE,"명세표"}</definedName>
    <definedName name="SAD" hidden="1">{#N/A,#N/A,FALSE,"조골재"}</definedName>
    <definedName name="SADASDA" hidden="1">{#N/A,#N/A,FALSE,"UNIT";#N/A,#N/A,FALSE,"UNIT";#N/A,#N/A,FALSE,"계정"}</definedName>
    <definedName name="SADF" hidden="1">#N/A</definedName>
    <definedName name="SADFASDFA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adfasdfasd" hidden="1">{#N/A,#N/A,FALSE,"UNIT";#N/A,#N/A,FALSE,"UNIT";#N/A,#N/A,FALSE,"계정"}</definedName>
    <definedName name="SADFASFASDFSADFAS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A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afdas" hidden="1">#N/A</definedName>
    <definedName name="safdsaf" hidden="1">#REF!</definedName>
    <definedName name="SAFFGGF" hidden="1">"김명신"</definedName>
    <definedName name="SAFSAFSAD" hidden="1">{#N/A,#N/A,FALSE,"속도"}</definedName>
    <definedName name="SAPBEXdnldView" hidden="1">"41JLQUL0YNPVK3OX98UIGJGNP"</definedName>
    <definedName name="SAPBEXsysID" hidden="1">"BWP"</definedName>
    <definedName name="sasasa" hidden="1">{#N/A,#N/A,FALSE,"속도"}</definedName>
    <definedName name="sasdf" hidden="1">0</definedName>
    <definedName name="s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DAS" localSheetId="0" hidden="1">{"'Firr(선)'!$AS$1:$AY$62","'Firr(사)'!$AS$1:$AY$62","'Firr(회)'!$AS$1:$AY$62","'Firr(선)'!$L$1:$V$62","'Firr(사)'!$L$1:$V$62","'Firr(회)'!$L$1:$V$62"}</definedName>
    <definedName name="SDAS" hidden="1">{"'Firr(선)'!$AS$1:$AY$62","'Firr(사)'!$AS$1:$AY$62","'Firr(회)'!$AS$1:$AY$62","'Firr(선)'!$L$1:$V$62","'Firr(사)'!$L$1:$V$62","'Firr(회)'!$L$1:$V$62"}</definedName>
    <definedName name="sdasdasdas" hidden="1">{#N/A,#N/A,FALSE,"배수2"}</definedName>
    <definedName name="SDCFG\" localSheetId="0" hidden="1">{#N/A,#N/A,FALSE,"운반시간"}</definedName>
    <definedName name="SDCFG\" hidden="1">{#N/A,#N/A,FALSE,"운반시간"}</definedName>
    <definedName name="SDDFD" hidden="1">{#N/A,#N/A,FALSE,"배수1"}</definedName>
    <definedName name="SDF" localSheetId="0" hidden="1">{#N/A,#N/A,FALSE,"혼합골재"}</definedName>
    <definedName name="SDF" hidden="1">{#N/A,#N/A,FALSE,"혼합골재"}</definedName>
    <definedName name="sdf4e" localSheetId="0" hidden="1">{#N/A,#N/A,FALSE,"현장 NCR 분석";#N/A,#N/A,FALSE,"현장품질감사";#N/A,#N/A,FALSE,"현장품질감사"}</definedName>
    <definedName name="sdf4e" hidden="1">{#N/A,#N/A,FALSE,"현장 NCR 분석";#N/A,#N/A,FALSE,"현장품질감사";#N/A,#N/A,FALSE,"현장품질감사"}</definedName>
    <definedName name="sdfag" hidden="1">#REF!</definedName>
    <definedName name="sdfd" hidden="1">{"'Sheet1'!$A$4","'Sheet1'!$A$9:$G$28"}</definedName>
    <definedName name="SDFDF44" hidden="1">#REF!</definedName>
    <definedName name="SDFDFD" hidden="1">{#N/A,#N/A,FALSE,"운반시간"}</definedName>
    <definedName name="SDFGFH" hidden="1">{#N/A,#N/A,FALSE,"부대2"}</definedName>
    <definedName name="SDFSAE" hidden="1">#N/A</definedName>
    <definedName name="SDFSAFSADFS" hidden="1">{#N/A,#N/A,FALSE,"혼합골재"}</definedName>
    <definedName name="sdfsd" hidden="1">{#N/A,#N/A,FALSE,"표지목차"}</definedName>
    <definedName name="sdfsdf" hidden="1">#REF!</definedName>
    <definedName name="sdfsf" hidden="1">#REF!</definedName>
    <definedName name="sdg" hidden="1">#REF!</definedName>
    <definedName name="SDGA" hidden="1">{#N/A,#N/A,FALSE,"조골재"}</definedName>
    <definedName name="SDGAS" hidden="1">#REF!</definedName>
    <definedName name="sdgdsfdsgdsfggfdsd" hidden="1">#REF!</definedName>
    <definedName name="sdgfa"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dggr" localSheetId="0" hidden="1">{#N/A,#N/A,FALSE,"현장 NCR 분석";#N/A,#N/A,FALSE,"현장품질감사";#N/A,#N/A,FALSE,"현장품질감사"}</definedName>
    <definedName name="sdggr" hidden="1">{#N/A,#N/A,FALSE,"현장 NCR 분석";#N/A,#N/A,FALSE,"현장품질감사";#N/A,#N/A,FALSE,"현장품질감사"}</definedName>
    <definedName name="sdghdsfg" hidden="1">{#N/A,#N/A,FALSE,"2~8번"}</definedName>
    <definedName name="SDGSDFHFDJDG" hidden="1">{#N/A,#N/A,FALSE,"속도"}</definedName>
    <definedName name="SDGSDGDHDFHGF" hidden="1">{#N/A,#N/A,FALSE,"운반시간"}</definedName>
    <definedName name="SDHF" localSheetId="0" hidden="1">{#N/A,#N/A,FALSE,"현장 NCR 분석";#N/A,#N/A,FALSE,"현장품질감사";#N/A,#N/A,FALSE,"현장품질감사"}</definedName>
    <definedName name="SDHF" hidden="1">{#N/A,#N/A,FALSE,"현장 NCR 분석";#N/A,#N/A,FALSE,"현장품질감사";#N/A,#N/A,FALSE,"현장품질감사"}</definedName>
    <definedName name="SDRE" hidden="1">{#N/A,#N/A,FALSE,"골재소요량";#N/A,#N/A,FALSE,"골재소요량"}</definedName>
    <definedName name="SDRTHST" hidden="1">#REF!</definedName>
    <definedName name="SDS" hidden="1">{#N/A,#N/A,FALSE,"2~8번"}</definedName>
    <definedName name="sdsdddd" hidden="1">{#N/A,#N/A,FALSE,"토공2"}</definedName>
    <definedName name="sdsdrgsth" localSheetId="0" hidden="1">{#N/A,#N/A,FALSE,"현장 NCR 분석";#N/A,#N/A,FALSE,"현장품질감사";#N/A,#N/A,FALSE,"현장품질감사"}</definedName>
    <definedName name="sdsdrgsth" hidden="1">{#N/A,#N/A,FALSE,"현장 NCR 분석";#N/A,#N/A,FALSE,"현장품질감사";#N/A,#N/A,FALSE,"현장품질감사"}</definedName>
    <definedName name="sdsdsds" hidden="1">#REF!</definedName>
    <definedName name="sdwe" localSheetId="0" hidden="1">{#N/A,#N/A,FALSE,"현장 NCR 분석";#N/A,#N/A,FALSE,"현장품질감사";#N/A,#N/A,FALSE,"현장품질감사"}</definedName>
    <definedName name="sdwe" hidden="1">{#N/A,#N/A,FALSE,"현장 NCR 분석";#N/A,#N/A,FALSE,"현장품질감사";#N/A,#N/A,FALSE,"현장품질감사"}</definedName>
    <definedName name="sdwf4rge" hidden="1">{#N/A,#N/A,FALSE,"운반시간"}</definedName>
    <definedName name="SDYF" localSheetId="0" hidden="1">{#N/A,#N/A,FALSE,"현장 NCR 분석";#N/A,#N/A,FALSE,"현장품질감사";#N/A,#N/A,FALSE,"현장품질감사"}</definedName>
    <definedName name="SDYF" hidden="1">{#N/A,#N/A,FALSE,"현장 NCR 분석";#N/A,#N/A,FALSE,"현장품질감사";#N/A,#N/A,FALSE,"현장품질감사"}</definedName>
    <definedName name="SD롢" hidden="1">{#N/A,#N/A,FALSE,"부대2"}</definedName>
    <definedName name="SERVICE" hidden="1">{#N/A,#N/A,FALSE,"이태원철근"}</definedName>
    <definedName name="SFA" hidden="1">{#N/A,#N/A,FALSE,"포장1";#N/A,#N/A,FALSE,"포장1"}</definedName>
    <definedName name="sfee" hidden="1">#N/A</definedName>
    <definedName name="SFFF" hidden="1">#REF!</definedName>
    <definedName name="SFFFFF" hidden="1">#REF!</definedName>
    <definedName name="sfggf" hidden="1">{#N/A,#N/A,FALSE,"배수1"}</definedName>
    <definedName name="sfgs" hidden="1">{#N/A,#N/A,FALSE,"운반시간"}</definedName>
    <definedName name="sfgsh" hidden="1">{#N/A,#N/A,FALSE,"배수1"}</definedName>
    <definedName name="SFSDFDSF" hidden="1">{#N/A,#N/A,FALSE,"운반시간"}</definedName>
    <definedName name="SFSFF" hidden="1">{#N/A,#N/A,FALSE,"양식(을)"}</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fds" hidden="1">{#N/A,#N/A,FALSE,"운반시간"}</definedName>
    <definedName name="sgfsdfe" hidden="1">#REF!</definedName>
    <definedName name="sgfsgsg" hidden="1">{#N/A,#N/A,FALSE,"골재소요량";#N/A,#N/A,FALSE,"골재소요량"}</definedName>
    <definedName name="SGSGFGHJHJH" hidden="1">"D:\SKT중계기 시설공사\CK-A2차\MyHTML.htm"</definedName>
    <definedName name="sheet" localSheetId="0" hidden="1">{#N/A,#N/A,FALSE,"골재소요량";#N/A,#N/A,FALSE,"골재소요량"}</definedName>
    <definedName name="sheet" hidden="1">{#N/A,#N/A,FALSE,"골재소요량";#N/A,#N/A,FALSE,"골재소요량"}</definedName>
    <definedName name="SHEET100" hidden="1">#REF!</definedName>
    <definedName name="SHH" hidden="1">{#N/A,#N/A,FALSE,"주간공정";#N/A,#N/A,FALSE,"주간보고";#N/A,#N/A,FALSE,"주간공정표"}</definedName>
    <definedName name="SJDGHFYCF" localSheetId="0" hidden="1">{#N/A,#N/A,FALSE,"현장 NCR 분석";#N/A,#N/A,FALSE,"현장품질감사";#N/A,#N/A,FALSE,"현장품질감사"}</definedName>
    <definedName name="SJDGHFYCF" hidden="1">{#N/A,#N/A,FALSE,"현장 NCR 분석";#N/A,#N/A,FALSE,"현장품질감사";#N/A,#N/A,FALSE,"현장품질감사"}</definedName>
    <definedName name="sjdhfh" localSheetId="0" hidden="1">{#N/A,#N/A,FALSE,"현장 NCR 분석";#N/A,#N/A,FALSE,"현장품질감사";#N/A,#N/A,FALSE,"현장품질감사"}</definedName>
    <definedName name="sjdhfh" hidden="1">{#N/A,#N/A,FALSE,"현장 NCR 분석";#N/A,#N/A,FALSE,"현장품질감사";#N/A,#N/A,FALSE,"현장품질감사"}</definedName>
    <definedName name="sjwe" localSheetId="0" hidden="1">{#N/A,#N/A,FALSE,"현장 NCR 분석";#N/A,#N/A,FALSE,"현장품질감사";#N/A,#N/A,FALSE,"현장품질감사"}</definedName>
    <definedName name="sjwe" hidden="1">{#N/A,#N/A,FALSE,"현장 NCR 분석";#N/A,#N/A,FALSE,"현장품질감사";#N/A,#N/A,FALSE,"현장품질감사"}</definedName>
    <definedName name="skccc" hidden="1">{#N/A,#N/A,FALSE,"운반시간"}</definedName>
    <definedName name="skdfsk" hidden="1">#REF!</definedName>
    <definedName name="SKI" hidden="1">#REF!</definedName>
    <definedName name="skrm" hidden="1">{#N/A,#N/A,FALSE,"구조2"}</definedName>
    <definedName name="sodur"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solver_adj" hidden="1">#REF!,#REF!</definedName>
    <definedName name="solver_cvg" hidden="1">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opt" hidden="1">#REF!</definedName>
    <definedName name="solver_pre" hidden="1">0.000001</definedName>
    <definedName name="solver_rel1" hidden="1">1</definedName>
    <definedName name="solver_rhs1" hidden="1">500000000</definedName>
    <definedName name="solver_scl" hidden="1">2</definedName>
    <definedName name="solver_sho" hidden="1">2</definedName>
    <definedName name="solver_tim" hidden="1">100</definedName>
    <definedName name="solver_tmp" hidden="1">#REF!,#REF!</definedName>
    <definedName name="solver_tol" hidden="1">0.05</definedName>
    <definedName name="solver_typ" hidden="1">1</definedName>
    <definedName name="solver_val" hidden="1">0</definedName>
    <definedName name="SORT" hidden="1">#REF!</definedName>
    <definedName name="sortt" hidden="1">#REF!</definedName>
    <definedName name="ss" localSheetId="0" hidden="1">{#N/A,#N/A,FALSE,"운반시간"}</definedName>
    <definedName name="ss" hidden="1">{#N/A,#N/A,FALSE,"운반시간"}</definedName>
    <definedName name="SSS" hidden="1">{#N/A,#N/A,FALSE,"2~8번"}</definedName>
    <definedName name="ssss.sss" hidden="1">{#N/A,#N/A,FALSE,"전력간선"}</definedName>
    <definedName name="sssss" hidden="1">{#N/A,#N/A,FALSE,"운반시간"}</definedName>
    <definedName name="ssssss" hidden="1">{#N/A,#N/A,FALSE,"전력간선"}</definedName>
    <definedName name="sssssssssssss" hidden="1">{#N/A,#N/A,FALSE,"단가표지"}</definedName>
    <definedName name="SUMMARY" hidden="1">#REF!</definedName>
    <definedName name="SUMMARYT" hidden="1">#REF!</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wasqqq" hidden="1">#REF!</definedName>
    <definedName name="swsw" hidden="1">#REF!</definedName>
    <definedName name="swswswswsws" hidden="1">{"'중기작업1'!$A$1:$V$18"}</definedName>
    <definedName name="Swvu.매출입." hidden="1">#REF!</definedName>
    <definedName name="szgwr" hidden="1">{#N/A,#N/A,FALSE,"2~8번"}</definedName>
    <definedName name="T4ER" hidden="1">{#N/A,#N/A,FALSE,"조골재"}</definedName>
    <definedName name="TBTY" hidden="1">{#N/A,#N/A,FALSE,"2~8번"}</definedName>
    <definedName name="TEWGDSGVDSFGVDSVGSD" hidden="1">{#N/A,#N/A,FALSE,"운반시간"}</definedName>
    <definedName name="TEWR" hidden="1">{#N/A,#N/A,TRUE,"Y생산";#N/A,#N/A,TRUE,"Y판매";#N/A,#N/A,TRUE,"Y총물량";#N/A,#N/A,TRUE,"Y능력";#N/A,#N/A,TRUE,"YKD"}</definedName>
    <definedName name="tewtwet" hidden="1">#N/A</definedName>
    <definedName name="TF" hidden="1">{#N/A,#N/A,FALSE,"운반시간"}</definedName>
    <definedName name="tgt" hidden="1">{#N/A,#N/A,FALSE,"구조1"}</definedName>
    <definedName name="th" hidden="1">{#N/A,#N/A,FALSE,"구조2"}</definedName>
    <definedName name="THEME2" hidden="1">{#N/A,#N/A,FALSE,"96 3월물량표";#N/A,#N/A,FALSE,"96 4월물량표";#N/A,#N/A,FALSE,"96 5월물량표"}</definedName>
    <definedName name="title1" hidden="1">#REF!</definedName>
    <definedName name="tjdnf" hidden="1">{#N/A,#N/A,FALSE,"전력간선"}</definedName>
    <definedName name="TN"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TOTAL" hidden="1">#REF!</definedName>
    <definedName name="tr" hidden="1">#REF!</definedName>
    <definedName name="TRBY" hidden="1">{#N/A,#N/A,FALSE,"혼합골재"}</definedName>
    <definedName name="tretwe" hidden="1">#N/A</definedName>
    <definedName name="TRTRTR" hidden="1">{#N/A,#N/A,FALSE,"운반시간"}</definedName>
    <definedName name="trtrtrtrtr" hidden="1">#REF!</definedName>
    <definedName name="tryrty" hidden="1">#REF!</definedName>
    <definedName name="tt" localSheetId="0" hidden="1">{#N/A,#N/A,FALSE,"단가표지"}</definedName>
    <definedName name="tt" hidden="1">{#N/A,#N/A,FALSE,"단가표지"}</definedName>
    <definedName name="ttt" localSheetId="0" hidden="1">{#N/A,#N/A,FALSE,"혼합골재"}</definedName>
    <definedName name="ttt" hidden="1">{#N/A,#N/A,FALSE,"표지목차"}</definedName>
    <definedName name="tttq" hidden="1">#REF!</definedName>
    <definedName name="tttt" hidden="1">{#N/A,#N/A,FALSE,"단가표지"}</definedName>
    <definedName name="tttttt" hidden="1">{#N/A,#N/A,FALSE,"골재소요량";#N/A,#N/A,FALSE,"골재소요량"}</definedName>
    <definedName name="TTYRY" hidden="1">{#N/A,#N/A,FALSE,"부대1"}</definedName>
    <definedName name="TYHFDGFD" hidden="1">{#N/A,#N/A,FALSE,"배수2"}</definedName>
    <definedName name="TYRY" hidden="1">#REF!</definedName>
    <definedName name="tytju4tewete" hidden="1">{#N/A,#N/A,FALSE,"속도"}</definedName>
    <definedName name="uhio8ou" hidden="1">{#N/A,#N/A,FALSE,"포장2"}</definedName>
    <definedName name="uiok" hidden="1">{#N/A,#N/A,FALSE,"표지목차"}</definedName>
    <definedName name="ujdffdf" hidden="1">{#N/A,#N/A,FALSE,"단가표지"}</definedName>
    <definedName name="ujk" hidden="1">{#N/A,#N/A,FALSE,"운반시간"}</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oi8p" hidden="1">{#N/A,#N/A,FALSE,"운반시간"}</definedName>
    <definedName name="uoi8u" hidden="1">{#N/A,#N/A,FALSE,"토공2"}</definedName>
    <definedName name="uoio" hidden="1">{#N/A,#N/A,FALSE,"포장1";#N/A,#N/A,FALSE,"포장1"}</definedName>
    <definedName name="uoiup" hidden="1">{#N/A,#N/A,FALSE,"구조1"}</definedName>
    <definedName name="ur" hidden="1">#REF!</definedName>
    <definedName name="uuiii" hidden="1">{"'Sheet1'!$A$4","'Sheet1'!$A$9:$G$28"}</definedName>
    <definedName name="UUKYIK" hidden="1">{#N/A,#N/A,FALSE,"조골재"}</definedName>
    <definedName name="uuuu" localSheetId="0" hidden="1">{#N/A,#N/A,FALSE,"단가표지"}</definedName>
    <definedName name="uuuu" hidden="1">{#N/A,#N/A,FALSE,"단가표지"}</definedName>
    <definedName name="uy89ihbn" hidden="1">{#N/A,#N/A,FALSE,"2~8번"}</definedName>
    <definedName name="uyjesc" hidden="1">{#N/A,#N/A,FALSE,"포장1";#N/A,#N/A,FALSE,"포장1"}</definedName>
    <definedName name="VB" hidden="1">{#N/A,#N/A,FALSE,"이태원철근"}</definedName>
    <definedName name="VBN" hidden="1">{#N/A,#N/A,FALSE,"이태원철근"}</definedName>
    <definedName name="vc" hidden="1">{#N/A,#N/A,FALSE,"속도"}</definedName>
    <definedName name="vcvcvc" hidden="1">{#N/A,#N/A,FALSE,"현장 NCR 분석";#N/A,#N/A,FALSE,"현장품질감사";#N/A,#N/A,FALSE,"현장품질감사"}</definedName>
    <definedName name="ve" localSheetId="0" hidden="1">{"'Firr(선)'!$AS$1:$AY$62","'Firr(사)'!$AS$1:$AY$62","'Firr(회)'!$AS$1:$AY$62","'Firr(선)'!$L$1:$V$62","'Firr(사)'!$L$1:$V$62","'Firr(회)'!$L$1:$V$62"}</definedName>
    <definedName name="ve" hidden="1">{"'Firr(선)'!$AS$1:$AY$62","'Firr(사)'!$AS$1:$AY$62","'Firr(회)'!$AS$1:$AY$62","'Firr(선)'!$L$1:$V$62","'Firr(사)'!$L$1:$V$62","'Firr(회)'!$L$1:$V$62"}</definedName>
    <definedName name="vfvfvf" hidden="1">#REF!</definedName>
    <definedName name="VHFG" hidden="1">#REF!</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v" hidden="1">{#N/A,#N/A,FALSE,"단가표지"}</definedName>
    <definedName name="vwat" hidden="1">{#N/A,#N/A,FALSE,"운반시간"}</definedName>
    <definedName name="vywlnnnnnn" hidden="1">{#N/A,#N/A,FALSE,"전력간선"}</definedName>
    <definedName name="W" hidden="1">{#N/A,#N/A,FALSE,"혼합골재"}</definedName>
    <definedName name="W33W33W" hidden="1">{#N/A,#N/A,FALSE,"골재소요량";#N/A,#N/A,FALSE,"골재소요량"}</definedName>
    <definedName name="WEARF" hidden="1">{#N/A,#N/A,TRUE,"Y생산";#N/A,#N/A,TRUE,"Y판매";#N/A,#N/A,TRUE,"Y총물량";#N/A,#N/A,TRUE,"Y능력";#N/A,#N/A,TRUE,"YKD"}</definedName>
    <definedName name="weeded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r" hidden="1">{#N/A,#N/A,FALSE,"골재소요량";#N/A,#N/A,FALSE,"골재소요량"}</definedName>
    <definedName name="wererr" hidden="1">{#N/A,#N/A,FALSE,"운반시간"}</definedName>
    <definedName name="werewr" hidden="1">{#N/A,#N/A,FALSE,"골재소요량";#N/A,#N/A,FALSE,"골재소요량"}</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WER" localSheetId="0" hidden="1">#REF!</definedName>
    <definedName name="WERWER" hidden="1">{#N/A,#N/A,FALSE,"양식(을)"}</definedName>
    <definedName name="werwerewt" hidden="1">#REF!</definedName>
    <definedName name="WERWERWE" hidden="1">#REF!</definedName>
    <definedName name="WERWR" hidden="1">{#N/A,#N/A,FALSE,"양식(을)"}</definedName>
    <definedName name="WERWRWER" hidden="1">{#N/A,#N/A,FALSE,"양식(을)"}</definedName>
    <definedName name="WERWVQ5R" hidden="1">{#N/A,#N/A,FALSE,"조골재"}</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VRW" hidden="1">{#N/A,#N/A,FALSE,"골재소요량";#N/A,#N/A,FALSE,"골재소요량"}</definedName>
    <definedName name="wew" hidden="1">{#N/A,#N/A,FALSE,"현장 NCR 분석";#N/A,#N/A,FALSE,"현장품질감사";#N/A,#N/A,FALSE,"현장품질감사"}</definedName>
    <definedName name="wj" hidden="1">{"'Sheet1'!$A$4","'Sheet1'!$A$9:$G$28"}</definedName>
    <definedName name="wjdwlswlswlslwlsl" hidden="1">{#N/A,#N/A,TRUE,"Y생산";#N/A,#N/A,TRUE,"Y판매";#N/A,#N/A,TRUE,"Y총물량";#N/A,#N/A,TRUE,"Y능력";#N/A,#N/A,TRUE,"YKD"}</definedName>
    <definedName name="wjsr" hidden="1">#REF!</definedName>
    <definedName name="wjstjr" hidden="1">{#N/A,#N/A,FALSE,"현장 NCR 분석";#N/A,#N/A,FALSE,"현장품질감사";#N/A,#N/A,FALSE,"현장품질감사"}</definedName>
    <definedName name="wkddbsgus" hidden="1">#REF!</definedName>
    <definedName name="wkworhgk" hidden="1">{#N/A,#N/A,TRUE,"Y생산";#N/A,#N/A,TRUE,"Y판매";#N/A,#N/A,TRUE,"Y총물량";#N/A,#N/A,TRUE,"Y능력";#N/A,#N/A,TRUE,"YKD"}</definedName>
    <definedName name="WL" hidden="1">{#N/A,#N/A,FALSE,"현장 NCR 분석";#N/A,#N/A,FALSE,"현장품질감사";#N/A,#N/A,FALSE,"현장품질감사"}</definedName>
    <definedName name="WLQ" hidden="1">{#N/A,#N/A,FALSE,"명세표"}</definedName>
    <definedName name="WLSDUF01" hidden="1">{#N/A,#N/A,FALSE,"표지목차"}</definedName>
    <definedName name="wm.조골재1" localSheetId="0" hidden="1">{#N/A,#N/A,FALSE,"조골재"}</definedName>
    <definedName name="wm.조골재1" localSheetId="1" hidden="1">{#N/A,#N/A,FALSE,"조골재"}</definedName>
    <definedName name="wm.조골재1" hidden="1">{#N/A,#N/A,FALSE,"조골재"}</definedName>
    <definedName name="wnd" hidden="1">{#N/A,#N/A,TRUE,"Y생산";#N/A,#N/A,TRUE,"Y판매";#N/A,#N/A,TRUE,"Y총물량";#N/A,#N/A,TRUE,"Y능력";#N/A,#N/A,TRUE,"YKD"}</definedName>
    <definedName name="woogi" hidden="1">#REF!</definedName>
    <definedName name="woogi2" hidden="1">#REF!</definedName>
    <definedName name="worn.co" hidden="1">{#N/A,#N/A,FALSE,"단가표지"}</definedName>
    <definedName name="wqe" hidden="1">{#N/A,#N/A,FALSE,"골재소요량";#N/A,#N/A,FALSE,"골재소요량"}</definedName>
    <definedName name="WQR" hidden="1">{#N/A,#N/A,FALSE,"Sheet1"}</definedName>
    <definedName name="wqw" localSheetId="0" hidden="1">{#N/A,#N/A,FALSE,"골재소요량";#N/A,#N/A,FALSE,"골재소요량"}</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localSheetId="0" hidden="1">{#N/A,#N/A,FALSE,"CCTV"}</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localSheetId="0" hidden="1">{#N/A,#N/A,FALSE,"2~8번"}</definedName>
    <definedName name="wrn.2번." localSheetId="1" hidden="1">{#N/A,#N/A,FALSE,"2~8번"}</definedName>
    <definedName name="wrn.2번." hidden="1">{#N/A,#N/A,FALSE,"2~8번"}</definedName>
    <definedName name="wrn.2번._1" hidden="1">{#N/A,#N/A,FALSE,"2~8번"}</definedName>
    <definedName name="wrn.345." hidden="1">{#N/A,#N/A,FALSE,"96 3월물량표";#N/A,#N/A,FALSE,"96 4월물량표";#N/A,#N/A,FALSE,"96 5월물량표"}</definedName>
    <definedName name="wrn.34건물기초." hidden="1">{#N/A,#N/A,FALSE,"집계";#N/A,#N/A,FALSE,"표지";#N/A,#N/A,FALSE,"터빈집계";#N/A,#N/A,FALSE,"터빈내역";#N/A,#N/A,FALSE,"주제어집계";#N/A,#N/A,FALSE,"주제어내역";#N/A,#N/A,FALSE,"보일러집계";#N/A,#N/A,FALSE,"보일러내역"}</definedName>
    <definedName name="wrn.3번." hidden="1">{#N/A,#N/A,FALSE,"2~8번"}</definedName>
    <definedName name="wrn.97." localSheetId="0" hidden="1">{#N/A,#N/A,FALSE,"지침";#N/A,#N/A,FALSE,"환경분석";#N/A,#N/A,FALSE,"Sheet16"}</definedName>
    <definedName name="wrn.97." localSheetId="1" hidden="1">{#N/A,#N/A,FALSE,"지침";#N/A,#N/A,FALSE,"환경분석";#N/A,#N/A,FALSE,"Sheet16"}</definedName>
    <definedName name="wrn.97." hidden="1">{#N/A,#N/A,FALSE,"지침";#N/A,#N/A,FALSE,"환경분석";#N/A,#N/A,FALSE,"Sheet16"}</definedName>
    <definedName name="wrn.97년._.사업계획._.및._.예산지침." localSheetId="0" hidden="1">{#N/A,#N/A,TRUE,"1";#N/A,#N/A,TRUE,"2";#N/A,#N/A,TRUE,"3";#N/A,#N/A,TRUE,"4";#N/A,#N/A,TRUE,"5";#N/A,#N/A,TRUE,"6";#N/A,#N/A,TRUE,"7"}</definedName>
    <definedName name="wrn.97년._.사업계획._.및._.예산지침." hidden="1">{#N/A,#N/A,TRUE,"1";#N/A,#N/A,TRUE,"2";#N/A,#N/A,TRUE,"3";#N/A,#N/A,TRUE,"4";#N/A,#N/A,TRUE,"5";#N/A,#N/A,TRUE,"6";#N/A,#N/A,TRUE,"7"}</definedName>
    <definedName name="WRN.98" hidden="1">{#N/A,#N/A,FALSE,"지침";#N/A,#N/A,FALSE,"환경분석";#N/A,#N/A,FALSE,"Sheet16"}</definedName>
    <definedName name="WRN.98." localSheetId="0" hidden="1">{#N/A,#N/A,FALSE,"지침";#N/A,#N/A,FALSE,"환경분석";#N/A,#N/A,FALSE,"Sheet16"}</definedName>
    <definedName name="WRN.98." hidden="1">{#N/A,#N/A,FALSE,"지침";#N/A,#N/A,FALSE,"환경분석";#N/A,#N/A,FALSE,"Sheet16"}</definedName>
    <definedName name="wrn.AA." localSheetId="0" hidden="1">{#N/A,#N/A,FALSE,"CAM-G7";#N/A,#N/A,FALSE,"SPL";#N/A,#N/A,FALSE,"butt-in G7";#N/A,#N/A,FALSE,"dia-in G7";#N/A,#N/A,FALSE,"추가-STA G7"}</definedName>
    <definedName name="wrn.AA." hidden="1">{#N/A,#N/A,FALSE,"CAM-G7";#N/A,#N/A,FALSE,"SPL";#N/A,#N/A,FALSE,"butt-in G7";#N/A,#N/A,FALSE,"dia-in G7";#N/A,#N/A,FALSE,"추가-STA G7"}</definedName>
    <definedName name="wrn.abc." hidden="1">{#N/A,#N/A,TRUE,"천상그린44PY"}</definedName>
    <definedName name="wrn.ac30prn." localSheetId="0"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0" hidden="1">{#N/A,#N/A,FALSE,"CCTV"}</definedName>
    <definedName name="wrn.BM." hidden="1">{#N/A,#N/A,FALSE,"CCTV"}</definedName>
    <definedName name="wrn.BM.1" hidden="1">{#N/A,#N/A,FALSE,"CCTV"}</definedName>
    <definedName name="wrn.EM." hidden="1">{#N/A,#N/A,FALSE,"전제";#N/A,#N/A,FALSE,"표지";#N/A,#N/A,FALSE,"6D16";#N/A,#N/A,FALSE,"6D22";#N/A,#N/A,FALSE,"6D22-T";#N/A,#N/A,FALSE,"Q-DEG";#N/A,#N/A,FALSE,"총손";#N/A,#N/A,FALSE,"대당";#N/A,#N/A,FALSE,"가공비"}</definedName>
    <definedName name="wrn.su." hidden="1">{#N/A,#N/A,FALSE,"표지";#N/A,#N/A,FALSE,"전제";#N/A,#N/A,FALSE,"손익-자 (2)";#N/A,#N/A,FALSE,"손익-자";#N/A,#N/A,FALSE,"손익-마 (2)";#N/A,#N/A,FALSE,"손익-마";#N/A,#N/A,FALSE,"총손최종"}</definedName>
    <definedName name="wrn.test1." hidden="1">{#N/A,#N/A,FALSE,"명세표"}</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Y차._.종합." hidden="1">{#N/A,#N/A,TRUE,"Y생산";#N/A,#N/A,TRUE,"Y판매";#N/A,#N/A,TRUE,"Y총물량";#N/A,#N/A,TRUE,"Y능력";#N/A,#N/A,TRUE,"YKD"}</definedName>
    <definedName name="wrn.각종보고서._.전체인쇄._.기본형."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 hidden="1">{#N/A,#N/A,FALSE,"일위대가목록";#N/A,#N/A,FALSE,"산출근거목록";#N/A,#N/A,FALSE,"노무비";#N/A,#N/A,FALSE,"재료비";#N/A,#N/A,FALSE,"경비";#N/A,#N/A,FALSE,"기타";#N/A,#N/A,FALSE,"중기목록"}</definedName>
    <definedName name="wrn.간극수압계._.DATA._.SHEET." hidden="1">{#N/A,#N/A,FALSE,"P1-2(1)";#N/A,#N/A,FALSE,"P1-2(2)";#N/A,#N/A,FALSE,"P1-2(3)";#N/A,#N/A,FALSE,"P1-3(1)";#N/A,#N/A,FALSE,"P1-3(2)";#N/A,#N/A,FALSE,"P1-3(3)";#N/A,#N/A,FALSE,"P1-4(1)";#N/A,#N/A,FALSE,"P1-4(2)";#N/A,#N/A,FALSE,"P1-4(3) ";#N/A,#N/A,FALSE,"P1-4-1(1)";#N/A,#N/A,FALSE,"P1-4-1(2)"}</definedName>
    <definedName name="wrn.개업비." hidden="1">{"개업비1",#N/A,FALSE,"개업비";"개업비2",#N/A,FALSE,"개업비";"개업비3",#N/A,FALSE,"개업비";"개업비4",#N/A,FALSE,"개업비"}</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hidden="1">{#N/A,#N/A,FALSE,"사업총괄";#N/A,#N/A,FALSE,"장비사업";#N/A,#N/A,FALSE,"철구사업";#N/A,#N/A,FALSE,"준설사업"}</definedName>
    <definedName name="wrn.견적." hidden="1">{#N/A,#N/A,FALSE,"Sheet1";#N/A,#N/A,FALSE,"Sheet2";#N/A,#N/A,FALSE,"TAB96-1"}</definedName>
    <definedName name="wrn.경비인쇄." hidden="1">{#N/A,#N/A,FALSE,"경비"}</definedName>
    <definedName name="wrn.골재소요량." localSheetId="0" hidden="1">{#N/A,#N/A,FALSE,"골재소요량";#N/A,#N/A,FALSE,"골재소요량"}</definedName>
    <definedName name="wrn.골재소요량." localSheetId="1" hidden="1">{#N/A,#N/A,FALSE,"골재소요량";#N/A,#N/A,FALSE,"골재소요량"}</definedName>
    <definedName name="wrn.골재소요량." hidden="1">{#N/A,#N/A,FALSE,"골재소요량";#N/A,#N/A,FALSE,"골재소요량"}</definedName>
    <definedName name="wrn.골재소요량._1" hidden="1">{#N/A,#N/A,FALSE,"골재소요량";#N/A,#N/A,FALSE,"골재소요량"}</definedName>
    <definedName name="wrn.공사비." hidden="1">{"1단계공사비",#N/A,FALSE,"공사비";"2단계공사비",#N/A,FALSE,"공사비"}</definedName>
    <definedName name="wrn.공업단지." hidden="1">{"공업단지",#N/A,FALSE,"배후단지 및 부대사업"}</definedName>
    <definedName name="wrn.관광단지." hidden="1">{"관광단지",#N/A,FALSE,"배후단지 및 부대사업"}</definedName>
    <definedName name="wrn.교대." hidden="1">{#N/A,#N/A,FALSE,"type1";#N/A,#N/A,FALSE,"지지력";#N/A,#N/A,FALSE,"PILE계산";#N/A,#N/A,FALSE,"PILE ";#N/A,#N/A,FALSE,"철근량";#N/A,#N/A,FALSE,"균열검토";#N/A,#N/A,FALSE,"날개벽";#N/A,#N/A,FALSE,"주철근조립도";#N/A,#N/A,FALSE,"교좌"}</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수량." hidden="1">{#N/A,#N/A,FALSE,"집계";#N/A,#N/A,FALSE,"철근";#N/A,#N/A,FALSE,"외봉육교(교대A1)";#N/A,#N/A,FALSE,"외봉육교(교대A2)"}</definedName>
    <definedName name="wrn.교육청." localSheetId="0" hidden="1">{#N/A,#N/A,FALSE,"전력간선"}</definedName>
    <definedName name="wrn.교육청." localSheetId="1" hidden="1">{#N/A,#N/A,FALSE,"전력간선"}</definedName>
    <definedName name="wrn.교육청." hidden="1">{#N/A,#N/A,FALSE,"전력간선"}</definedName>
    <definedName name="wrn.구리청소년수련원." hidden="1">{#N/A,#N/A,TRUE,"1. 부하계산";#N/A,#N/A,TRUE,"1-1.부하계산기준";#N/A,#N/A,TRUE,"1-2.부하계산방법";#N/A,#N/A,TRUE,"1-3.부하집계";#N/A,#N/A,TRUE,"공조기부하집계";#N/A,#N/A,TRUE,"FCU";#N/A,#N/A,TRUE,"방열기";#N/A,#N/A,TRUE,"장비선정";#N/A,#N/A,TRUE,"1-4.부하계산";#N/A,#N/A,TRUE,"1-4.부하계산 (2)";#N/A,#N/A,TRUE,"2.장비선정";#N/A,#N/A,TRUE,"2-1AHU";#N/A,#N/A,TRUE,"2-2보일러";#N/A,#N/A,TRUE,"2-3냉온수기";#N/A,#N/A,TRUE,"2-4냉각탑";#N/A,#N/A,TRUE,"2-5PAC";#N/A,#N/A,TRUE,"2-6열교환기";#N/A,#N/A,TRUE,"2-7탱크";#N/A,#N/A,TRUE,"2-8펌프";#N/A,#N/A,TRUE,"2-9팬";#N/A,#N/A,TRUE,"팬정압 (2)"}</definedName>
    <definedName name="wrn.구조2." localSheetId="0" hidden="1">{#N/A,#N/A,FALSE,"구조2"}</definedName>
    <definedName name="wrn.구조2." localSheetId="1" hidden="1">{#N/A,#N/A,FALSE,"구조2"}</definedName>
    <definedName name="wrn.구조2." hidden="1">{#N/A,#N/A,FALSE,"구조2"}</definedName>
    <definedName name="wrn.구조2._1" hidden="1">{#N/A,#N/A,FALSE,"구조2"}</definedName>
    <definedName name="wrn.금산상휴게소."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wrn.기성." localSheetId="0" hidden="1">{#N/A,#N/A,FALSE,"신청통보";#N/A,#N/A,FALSE,"기성확인서";#N/A,#N/A,FALSE,"기성내역서"}</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기타인쇄." hidden="1">{#N/A,#N/A,FALSE,"기타"}</definedName>
    <definedName name="wrn.남원공설운동장." hidden="1">{#N/A,#N/A,TRUE,"1. 부하계산";#N/A,#N/A,TRUE,"1-1.부하계산기준";#N/A,#N/A,TRUE,"1-2.부하계산";#N/A,#N/A,TRUE,"2.장비선정";#N/A,#N/A,TRUE,"2-1보일러";#N/A,#N/A,TRUE,"2-2펌프";#N/A,#N/A,TRUE,"2-3탱크";#N/A,#N/A,TRUE,"2-4전기방열기";#N/A,#N/A,TRUE,"2-5전기온수기";#N/A,#N/A,TRUE,"2-6팬"}</definedName>
    <definedName name="wrn.노무비인쇄." hidden="1">{#N/A,#N/A,FALSE,"노무비"}</definedName>
    <definedName name="wrn.누계원가" hidden="1">{#N/A,#N/A,FALSE,"제조원가"}</definedName>
    <definedName name="wrn.누계원가." hidden="1">{#N/A,#N/A,FALSE,"제조원가"}</definedName>
    <definedName name="wrn.단가표지." localSheetId="0" hidden="1">{#N/A,#N/A,FALSE,"단가표지"}</definedName>
    <definedName name="wrn.단가표지." localSheetId="1" hidden="1">{#N/A,#N/A,FALSE,"단가표지"}</definedName>
    <definedName name="wrn.단가표지." hidden="1">{#N/A,#N/A,FALSE,"단가표지"}</definedName>
    <definedName name="wrn.단가표지._1" hidden="1">{#N/A,#N/A,FALSE,"단가표지"}</definedName>
    <definedName name="wrn.당월원가." hidden="1">{#N/A,#N/A,FALSE,"제조원가"}</definedName>
    <definedName name="wrn.대출금상환계획." hidden="1">{"대출금상환계획",#N/A,FALSE,"추정IS,CF,무상사용"}</definedName>
    <definedName name="wrn.대한생명보험._.강남사옥._.신축공사." hidden="1">{#N/A,#N/A,TRUE,"공조기";#N/A,#N/A,TRUE,"FCU";#N/A,#N/A,TRUE,"1-20";#N/A,#N/A,TRUE,"21-40";#N/A,#N/A,TRUE,"41-60";#N/A,#N/A,TRUE,"61-80";#N/A,#N/A,TRUE,"화장실부하집계";#N/A,#N/A,TRUE,"화장실"}</definedName>
    <definedName name="wrn.ㅁㅁㅁ." hidden="1">{#N/A,#N/A,FALSE,"월공사비집계표양식 (7)";#N/A,#N/A,FALSE,"월공사비집계표양식 (7)"}</definedName>
    <definedName name="wrn.목동재건축아파트." hidden="1">{#N/A,#N/A,TRUE,"1. 부하계산";#N/A,#N/A,TRUE,"1-1.부하계산기준";#N/A,#N/A,TRUE,"1-3.부하집계";#N/A,#N/A,TRUE,"1-4.부하계산(24평)";#N/A,#N/A,TRUE,"1-4.부하계산(33평)";#N/A,#N/A,TRUE,"1-4.부하계산 (40평)";#N/A,#N/A,TRUE,"1-4.부하계산 (부속)";#N/A,#N/A,TRUE,"2.장비선정";#N/A,#N/A,TRUE,"2-1보일러";#N/A,#N/A,TRUE,"2-4팬";#N/A,#N/A,TRUE,"팬(2)"}</definedName>
    <definedName name="wrn.민감도." hidden="1">{#N/A,#N/A,FALSE,"민감도"}</definedName>
    <definedName name="wrn.배당분석." hidden="1">{#N/A,#N/A,FALSE,"배당분석"}</definedName>
    <definedName name="wrn.배수1." localSheetId="0" hidden="1">{#N/A,#N/A,FALSE,"배수1"}</definedName>
    <definedName name="wrn.배수1." localSheetId="1" hidden="1">{#N/A,#N/A,FALSE,"배수1"}</definedName>
    <definedName name="wrn.배수1." hidden="1">{#N/A,#N/A,FALSE,"배수1"}</definedName>
    <definedName name="wrn.배수1._1" hidden="1">{#N/A,#N/A,FALSE,"배수1"}</definedName>
    <definedName name="wrn.배수2." localSheetId="0" hidden="1">{#N/A,#N/A,FALSE,"배수2"}</definedName>
    <definedName name="wrn.배수2." localSheetId="1" hidden="1">{#N/A,#N/A,FALSE,"배수2"}</definedName>
    <definedName name="wrn.배수2." hidden="1">{#N/A,#N/A,FALSE,"배수2"}</definedName>
    <definedName name="wrn.배수2._1" hidden="1">{#N/A,#N/A,FALSE,"배수2"}</definedName>
    <definedName name="wrn.배후단지." hidden="1">{"배후단지",#N/A,FALSE,"배후단지 및 부대사업"}</definedName>
    <definedName name="wrn.배후단지._.및._.부대사업." hidden="1">{"부대사업공정율",#N/A,FALSE,"배후단지 및 부대사업"}</definedName>
    <definedName name="wrn.변경예산." hidden="1">{#N/A,#N/A,FALSE,"변경관리예산";#N/A,#N/A,FALSE,"변경장비예산";#N/A,#N/A,FALSE,"변경준설예산";#N/A,#N/A,FALSE,"변경철구예산"}</definedName>
    <definedName name="wrn.보고서." hidden="1">{#N/A,#N/A,FALSE,"양식(을)"}</definedName>
    <definedName name="wrn.보일러마감." hidden="1">{#N/A,#N/A,FALSE,"물가변동 (2)";#N/A,#N/A,FALSE,"공사비";#N/A,#N/A,FALSE,"사급";#N/A,#N/A,FALSE,"도급집계";#N/A,#N/A,FALSE,"재료비";#N/A,#N/A,FALSE,"노무비";#N/A,#N/A,FALSE,"경비"}</definedName>
    <definedName name="wrn.부대1." localSheetId="0" hidden="1">{#N/A,#N/A,FALSE,"부대1"}</definedName>
    <definedName name="wrn.부대1." localSheetId="1" hidden="1">{#N/A,#N/A,FALSE,"부대1"}</definedName>
    <definedName name="wrn.부대1." hidden="1">{#N/A,#N/A,FALSE,"부대1"}</definedName>
    <definedName name="wrn.부대1._1" hidden="1">{#N/A,#N/A,FALSE,"부대1"}</definedName>
    <definedName name="wrn.부대2." localSheetId="0" hidden="1">{#N/A,#N/A,FALSE,"부대2"}</definedName>
    <definedName name="wrn.부대2." localSheetId="1" hidden="1">{#N/A,#N/A,FALSE,"부대2"}</definedName>
    <definedName name="wrn.부대2." hidden="1">{#N/A,#N/A,FALSE,"부대2"}</definedName>
    <definedName name="wrn.부대2._1" hidden="1">{#N/A,#N/A,FALSE,"부대2"}</definedName>
    <definedName name="WRN.부대3." localSheetId="0" hidden="1">{#N/A,#N/A,FALSE,"부대2"}</definedName>
    <definedName name="WRN.부대3." hidden="1">{#N/A,#N/A,FALSE,"부대2"}</definedName>
    <definedName name="wrn.부대사업본사업연결자료." hidden="1">{"부대사업본사업연결자료",#N/A,FALSE,"배후단지및부대사업연결"}</definedName>
    <definedName name="wrn.부대사업수익총괄." hidden="1">{"부대사업수익총괄",#N/A,FALSE,"배후단지 및 부대사업"}</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하계산서." hidden="1">{#N/A,#N/A,TRUE,"1.부하계산기준";#N/A,#N/A,TRUE,"2.부하계산방법"}</definedName>
    <definedName name="wrn.불변현금흐름표." hidden="1">{"불변현금흐름",#N/A,FALSE,"추정IS,CF,무상사용"}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산출근거목록인쇄." hidden="1">{#N/A,#N/A,FALSE,"산출근거목록"}</definedName>
    <definedName name="wrn.산출근거인쇄." hidden="1">{#N/A,#N/A,FALSE,"산출근거"}</definedName>
    <definedName name="wrn.산출근거인쇄._.토개공변환." hidden="1">{#N/A,#N/A,FALSE,"산출근거변환"}</definedName>
    <definedName name="wrn.서울제일성결교회." hidden="1">{#N/A,#N/A,TRUE,"1. 부하계산";#N/A,#N/A,TRUE,"1-1.부하계산기준";#N/A,#N/A,TRUE,"1-2.부하계산방법";#N/A,#N/A,TRUE,"1-3.부하집계";#N/A,#N/A,TRUE,"1-4.부하계산"}</definedName>
    <definedName name="wrn.선사." hidden="1">{#N/A,#N/A,FALSE,"품의서";#N/A,#N/A,FALSE,"전제";#N/A,#N/A,FALSE,"총손";#N/A,#N/A,FALSE,"손익"}</definedName>
    <definedName name="wrn.설계내역서인쇄." hidden="1">{#N/A,#N/A,FALSE,"설계내역서"}</definedName>
    <definedName name="wrn.속도." localSheetId="0" hidden="1">{#N/A,#N/A,FALSE,"속도"}</definedName>
    <definedName name="wrn.속도." localSheetId="1" hidden="1">{#N/A,#N/A,FALSE,"속도"}</definedName>
    <definedName name="wrn.속도." hidden="1">{#N/A,#N/A,FALSE,"속도"}</definedName>
    <definedName name="wrn.속도._1" hidden="1">{#N/A,#N/A,FALSE,"속도"}</definedName>
    <definedName name="WRN.속도.2" hidden="1">{#N/A,#N/A,FALSE,"속도"}</definedName>
    <definedName name="wrn.손익._.보고." hidden="1">{#N/A,#N/A,TRUE,"손익보고"}</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localSheetId="0" hidden="1">{#N/A,#N/A,FALSE,"도급대비시행율";#N/A,#N/A,FALSE,"결의서";#N/A,#N/A,FALSE,"내역서";#N/A,#N/A,FALSE,"도급예상"}</definedName>
    <definedName name="wrn.시행결의." hidden="1">{#N/A,#N/A,FALSE,"결의서";#N/A,#N/A,FALSE,"내역서";#N/A,#N/A,FALSE,"도급예상";#N/A,#N/A,FALSE,"시방서"}</definedName>
    <definedName name="wrn.신용찬." localSheetId="0" hidden="1">{#N/A,#N/A,TRUE,"토적및재료집계";#N/A,#N/A,TRUE,"토적및재료집계";#N/A,#N/A,TRUE,"단위량"}</definedName>
    <definedName name="wrn.신용찬." hidden="1">{#N/A,#N/A,TRUE,"토적및재료집계";#N/A,#N/A,TRUE,"토적및재료집계";#N/A,#N/A,TRUE,"단위량"}</definedName>
    <definedName name="wrn.실행예산."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실행품의." hidden="1">{#N/A,#N/A,FALSE,"갑지";#N/A,#N/A,FALSE,"개요";#N/A,#N/A,FALSE,"비목별";#N/A,#N/A,FALSE,"건물별";#N/A,#N/A,FALSE,"기구표";#N/A,#N/A,FALSE,"직원투입"}</definedName>
    <definedName name="wrn.양수시험일보." hidden="1">{#N/A,#N/A,TRUE,"Sheet1"}</definedName>
    <definedName name="wrn.업체별._.견적공사명." hidden="1">{"SJ - 기본 보기",#N/A,FALSE,"공사별 외주견적"}</definedName>
    <definedName name="wrn.여암교._.가설공사._.추정금액._.산정." hidden="1">{#N/A,#N/A,TRUE,"설계내역서";#N/A,#N/A,TRUE,"설계집계"}</definedName>
    <definedName name="wrn.연동제." hidden="1">{#N/A,#N/A,TRUE,"총괄"}</definedName>
    <definedName name="wrn.예상손익." hidden="1">{#N/A,#N/A,FALSE,"예상손익";#N/A,#N/A,FALSE,"관리분석";#N/A,#N/A,FALSE,"장비분석";#N/A,#N/A,FALSE,"준설분석";#N/A,#N/A,FALSE,"철구분석"}</definedName>
    <definedName name="wrn.외주기성." hidden="1">{#N/A,#N/A,FALSE,"신청통보";#N/A,#N/A,FALSE,"기성확인서";#N/A,#N/A,FALSE,"기성내역서"}</definedName>
    <definedName name="wrn.운반시간." localSheetId="0" hidden="1">{#N/A,#N/A,FALSE,"운반시간"}</definedName>
    <definedName name="wrn.운반시간." localSheetId="1" hidden="1">{#N/A,#N/A,FALSE,"운반시간"}</definedName>
    <definedName name="wrn.운반시간." hidden="1">{#N/A,#N/A,FALSE,"운반시간"}</definedName>
    <definedName name="wrn.운반시간._1" hidden="1">{#N/A,#N/A,FALSE,"운반시간"}</definedName>
    <definedName name="wrn.운영비용." hidden="1">{"운영비용1",#N/A,FALSE,"운영비용";"운영비용2",#N/A,FALSE,"운영비용";"운영비용3",#N/A,FALSE,"운영비용";"운영비용4",#N/A,FALSE,"운영비용";"운영비용5",#N/A,FALSE,"운영비용";"운영비용6",#N/A,FALSE,"운영비용"}</definedName>
    <definedName name="wrn.운영설비비." hidden="1">{"운영설비비1",#N/A,FALSE,"운영설비비";"운영설비비2",#N/A,FALSE,"운영설비비"}</definedName>
    <definedName name="wrn.운영수익." hidden="1">{"운영수익1",#N/A,FALSE,"운영수익";"운영수익2",#N/A,FALSE,"운영수익";"운영수익3",#N/A,FALSE,"운영수익"}</definedName>
    <definedName name="wrn.원가계산서인쇄." hidden="1">{#N/A,#N/A,FALSE,"원가계산서"}</definedName>
    <definedName name="wrn.월간보고." hidden="1">{#N/A,#N/A,FALSE,"99.11(감독실)";#N/A,#N/A,FALSE,"전체현황(감독실)";#N/A,#N/A,FALSE,"성토및 침하현황(99.11)(사업소)";#N/A,#N/A,FALSE,"방치구간 현황(99.11)(사업소)"}</definedName>
    <definedName name="wrn.은행1동"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wrn.이정표." localSheetId="0" hidden="1">{#N/A,#N/A,FALSE,"이정표"}</definedName>
    <definedName name="wrn.이정표." localSheetId="1" hidden="1">{#N/A,#N/A,FALSE,"이정표"}</definedName>
    <definedName name="wrn.이정표." hidden="1">{#N/A,#N/A,FALSE,"이정표"}</definedName>
    <definedName name="wrn.이정표._1" hidden="1">{#N/A,#N/A,FALSE,"이정표"}</definedName>
    <definedName name="wrn.이태원._.철근." hidden="1">{#N/A,#N/A,FALSE,"이태원철근"}</definedName>
    <definedName name="wrn.일산대교." hidden="1">{#N/A,#N/A,TRUE,"부하계산서표지";#N/A,#N/A,TRUE,"1. 부하계산";#N/A,#N/A,TRUE,"1-1.부하계산기준";#N/A,#N/A,TRUE,"1-2.부하계산";#N/A,#N/A,TRUE,"1-3부하집계"}</definedName>
    <definedName name="wrn.일위대가목록인쇄." hidden="1">{#N/A,#N/A,FALSE,"일위대가목록"}</definedName>
    <definedName name="wrn.일위대가인쇄." hidden="1">{#N/A,#N/A,FALSE,"일위대가"}</definedName>
    <definedName name="wrn.일위대가인쇄._.수자원변환." hidden="1">{#N/A,#N/A,FALSE,"일위대가변환"}</definedName>
    <definedName name="wrn.자금운영표." hidden="1">{"총괄자금운영표",#N/A,FALSE,"자금운영표";"1단계자금운영표(불변)",#N/A,FALSE,"자금운영표";"2단계자금운영표(불변)",#N/A,FALSE,"자금운영표"}</definedName>
    <definedName name="wrn.장비보유." hidden="1">{"장비보유1",#N/A,FALSE,"장비보유현황";"장비보유2",#N/A,FALSE,"장비보유현황"}</definedName>
    <definedName name="wrn.장비소요." hidden="1">{"장비보유",#N/A,FALSE,"장비소요"}</definedName>
    <definedName name="wrn.재료비인쇄." hidden="1">{#N/A,#N/A,FALSE,"재료비"}</definedName>
    <definedName name="wrn.전부인쇄." hidden="1">{#N/A,#N/A,FALSE,"단축1";#N/A,#N/A,FALSE,"단축2";#N/A,#N/A,FALSE,"단축3";#N/A,#N/A,FALSE,"장축";#N/A,#N/A,FALSE,"4WD"}</definedName>
    <definedName name="wrn.전열선출서." hidden="1">{#N/A,#N/A,FALSE,"전열산출서"}</definedName>
    <definedName name="wrn.조골재." localSheetId="0" hidden="1">{#N/A,#N/A,FALSE,"조골재"}</definedName>
    <definedName name="wrn.조골재." localSheetId="1" hidden="1">{#N/A,#N/A,FALSE,"조골재"}</definedName>
    <definedName name="wrn.조골재." hidden="1">{#N/A,#N/A,FALSE,"조골재"}</definedName>
    <definedName name="wrn.조골재._1" hidden="1">{#N/A,#N/A,FALSE,"조골재"}</definedName>
    <definedName name="wrn.주간보고." hidden="1">{#N/A,#N/A,FALSE,"주간공정";#N/A,#N/A,FALSE,"주간보고";#N/A,#N/A,FALSE,"주간공정표"}</definedName>
    <definedName name="wrn.중공업군포견적서." hidden="1">{#N/A,#N/A,FALSE,"견적갑지";#N/A,#N/A,FALSE,"총괄표";#N/A,#N/A,FALSE,"철골공사";#N/A,#N/A,FALSE,"토목공사";#N/A,#N/A,FALSE,"판넬전기공사"}</definedName>
    <definedName name="wrn.중기목록인쇄." hidden="1">{#N/A,#N/A,FALSE,"중기목록"}</definedName>
    <definedName name="wrn.중기산출기초인쇄." hidden="1">{#N/A,#N/A,FALSE,"중기산출기초"}</definedName>
    <definedName name="wrn.중기인쇄." hidden="1">{#N/A,#N/A,FALSE,"중기"}</definedName>
    <definedName name="wrn.중기인쇄._.일반형변환." hidden="1">{#N/A,#N/A,FALSE,"중기변환"}</definedName>
    <definedName name="wrn.지수1."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직좌." hidden="1">{#N/A,#N/A,FALSE,"품의서";#N/A,#N/A,FALSE,"전제";#N/A,#N/A,FALSE,"총손";#N/A,#N/A,FALSE,"손익";#N/A,#N/A,FALSE,"대당";#N/A,#N/A,FALSE,"가공비";#N/A,#N/A,FALSE,"재료비";#N/A,#N/A,FALSE,"판비";#N/A,#N/A,FALSE,"가격"}</definedName>
    <definedName name="wrn.직중." hidden="1">{#N/A,#N/A,FALSE,"표지";#N/A,#N/A,FALSE,"전제";#N/A,#N/A,FALSE,"대당";#N/A,#N/A,FALSE,"가공비";#N/A,#N/A,FALSE,"재료비";#N/A,#N/A,FALSE,"손익"}</definedName>
    <definedName name="wrn.철골집계표._.5칸." hidden="1">{#N/A,#N/A,FALSE,"Sheet1"}</definedName>
    <definedName name="wrn.추정대차대조." hidden="1">{"추정대차대조표",#N/A,FALSE,"추정BS"}</definedName>
    <definedName name="wrn.추정손익계산서." hidden="1">{"추정손익계산서",#N/A,FALSE,"추정IS,CF,무상사용"}</definedName>
    <definedName name="wrn.추정현금흐름표." hidden="1">{"추정현금흐름표",#N/A,FALSE,"추정IS,CF,무상사용"}</definedName>
    <definedName name="wrn.치." hidden="1">{#N/A,#N/A,FALSE,"#7-7";#N/A,#N/A,FALSE,"#8-1"}</definedName>
    <definedName name="wrn.토공1." localSheetId="0" hidden="1">{#N/A,#N/A,FALSE,"구조1"}</definedName>
    <definedName name="wrn.토공1." localSheetId="1" hidden="1">{#N/A,#N/A,FALSE,"구조1"}</definedName>
    <definedName name="wrn.토공1." hidden="1">{#N/A,#N/A,FALSE,"구조1"}</definedName>
    <definedName name="wrn.토공1._1" hidden="1">{#N/A,#N/A,FALSE,"구조1"}</definedName>
    <definedName name="wrn.토공2." localSheetId="0" hidden="1">{#N/A,#N/A,FALSE,"토공2"}</definedName>
    <definedName name="wrn.토공2." localSheetId="1" hidden="1">{#N/A,#N/A,FALSE,"토공2"}</definedName>
    <definedName name="wrn.토공2." hidden="1">{#N/A,#N/A,FALSE,"토공2"}</definedName>
    <definedName name="wrn.토공2._1" hidden="1">{#N/A,#N/A,FALSE,"토공2"}</definedName>
    <definedName name="wrn.통신지." localSheetId="0" hidden="1">{#N/A,#N/A,FALSE,"기안지";#N/A,#N/A,FALSE,"통신지"}</definedName>
    <definedName name="wrn.통신지." hidden="1">{#N/A,#N/A,FALSE,"기안지";#N/A,#N/A,FALSE,"통신지"}</definedName>
    <definedName name="wrn.투자비명세." hidden="1">{"1단계 투자비명세",#N/A,FALSE,"투자비명세";"2단계 투자비명세",#N/A,FALSE,"투자비명세"}</definedName>
    <definedName name="wrn.포장1." localSheetId="0" hidden="1">{#N/A,#N/A,FALSE,"포장1";#N/A,#N/A,FALSE,"포장1"}</definedName>
    <definedName name="wrn.포장1." localSheetId="1" hidden="1">{#N/A,#N/A,FALSE,"포장1";#N/A,#N/A,FALSE,"포장1"}</definedName>
    <definedName name="wrn.포장1." hidden="1">{#N/A,#N/A,FALSE,"포장1";#N/A,#N/A,FALSE,"포장1"}</definedName>
    <definedName name="wrn.포장1._1" hidden="1">{#N/A,#N/A,FALSE,"포장1";#N/A,#N/A,FALSE,"포장1"}</definedName>
    <definedName name="wrn.포장2." localSheetId="0" hidden="1">{#N/A,#N/A,FALSE,"포장2"}</definedName>
    <definedName name="wrn.포장2." localSheetId="1" hidden="1">{#N/A,#N/A,FALSE,"포장2"}</definedName>
    <definedName name="wrn.포장2." hidden="1">{#N/A,#N/A,FALSE,"포장2"}</definedName>
    <definedName name="wrn.포장2._1" hidden="1">{#N/A,#N/A,FALSE,"포장2"}</definedName>
    <definedName name="wrn.포장단가." hidden="1">{#N/A,#N/A,FALSE,"포장단가"}</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localSheetId="0" hidden="1">{#N/A,#N/A,FALSE,"표지"}</definedName>
    <definedName name="wrn.표지." hidden="1">{#N/A,#N/A,FALSE,"표지"}</definedName>
    <definedName name="wrn.표지목차." localSheetId="0" hidden="1">{#N/A,#N/A,FALSE,"표지목차"}</definedName>
    <definedName name="wrn.표지목차." localSheetId="1" hidden="1">{#N/A,#N/A,FALSE,"표지목차"}</definedName>
    <definedName name="wrn.표지목차." hidden="1">{#N/A,#N/A,FALSE,"표지목차"}</definedName>
    <definedName name="wrn.표지목차._1" hidden="1">{#N/A,#N/A,FALSE,"표지목차"}</definedName>
    <definedName name="wrn.현대정공구매현황." hidden="1">{#N/A,#N/A,FALSE,"정공"}</definedName>
    <definedName name="wrn.현장._.IDEA._.공모." hidden="1">{#N/A,#N/A,FALSE,"현장IDEA공모"}</definedName>
    <definedName name="wrn.현장._.NCR._.분석." localSheetId="0" hidden="1">{#N/A,#N/A,FALSE,"현장 NCR 분석";#N/A,#N/A,FALSE,"현장품질감사";#N/A,#N/A,FALSE,"현장품질감사"}</definedName>
    <definedName name="wrn.현장._.NCR._.분석." hidden="1">{#N/A,#N/A,FALSE,"현장 NCR 분석";#N/A,#N/A,FALSE,"현장품질감사";#N/A,#N/A,FALSE,"현장품질감사"}</definedName>
    <definedName name="wrn.혼합골재." localSheetId="0" hidden="1">{#N/A,#N/A,FALSE,"혼합골재"}</definedName>
    <definedName name="wrn.혼합골재." localSheetId="1" hidden="1">{#N/A,#N/A,FALSE,"혼합골재"}</definedName>
    <definedName name="wrn.혼합골재." hidden="1">{#N/A,#N/A,FALSE,"혼합골재"}</definedName>
    <definedName name="wrn.혼합골재._1" hidden="1">{#N/A,#N/A,FALSE,"혼합골재"}</definedName>
    <definedName name="wrn.화장실." hidden="1">{#N/A,#N/A,FALSE,"화장실부하집계";#N/A,#N/A,FALSE,"화장실"}</definedName>
    <definedName name="wrn.황금동." localSheetId="1" hidden="1">{#N/A,#N/A,FALSE,"단면 제원"}</definedName>
    <definedName name="wrn.황금동." hidden="1">{#N/A,#N/A,FALSE,"단면 제원"}</definedName>
    <definedName name="wrn.ㅛY차보고" hidden="1">{#N/A,#N/A,TRUE,"Y생산";#N/A,#N/A,TRUE,"Y판매";#N/A,#N/A,TRUE,"Y총물량";#N/A,#N/A,TRUE,"Y능력";#N/A,#N/A,TRUE,"YKD"}</definedName>
    <definedName name="ws2w" hidden="1">#REF!</definedName>
    <definedName name="WSEFVWSaf" hidden="1">{#N/A,#N/A,FALSE,"포장1";#N/A,#N/A,FALSE,"포장1"}</definedName>
    <definedName name="WTREEEEEEEEEEEEEEEEEEEEEEEEEEEEEEEEEEEEEEEEEEEEE" hidden="1">{#N/A,#N/A,FALSE,"혼합골재"}</definedName>
    <definedName name="wtvegrh" hidden="1">{#N/A,#N/A,FALSE,"포장2"}</definedName>
    <definedName name="wvu.매출입." hidden="1">{TRUE,TRUE,-1.25,-15.5,484.5,239.25,FALSE,TRUE,TRUE,TRUE,0,1,#N/A,1,#N/A,7.07086614173228,8.95121951219512,1,FALSE,FALSE,3,TRUE,1,FALSE,100,"Swvu.매출입.","ACwvu.매출입.",#N/A,FALSE,FALSE,0.38,0.34,1.08,0.9,1,"&amp;C&amp;""바탕체,굵게""&amp;28&amp;E견     적     서","&amp;C&amp;""바탕체,굵게""&amp;20동  원  전  기",FALSE,FALSE,FALSE,FALSE,1,100,#N/A,#N/A,FALSE,FALSE,#N/A,#N/A,FALSE,FALSE,TRUE,9,0,0,FALSE,FALSE,TRUE,TRUE,TRUE}</definedName>
    <definedName name="wvyh" hidden="1">{#N/A,#N/A,FALSE,"혼합골재"}</definedName>
    <definedName name="ww" hidden="1">{#N/A,#N/A,FALSE,"골재소요량";#N/A,#N/A,FALSE,"골재소요량"}</definedName>
    <definedName name="wwedsd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dcx" hidden="1">{"'Sheet1'!$A$4","'Sheet1'!$A$9:$G$28"}</definedName>
    <definedName name="wwww" hidden="1">{"'Sheet1'!$A$4","'Sheet1'!$A$9:$G$28"}</definedName>
    <definedName name="wwwwwww" localSheetId="0" hidden="1">{#N/A,#N/A,FALSE,"현장 NCR 분석";#N/A,#N/A,FALSE,"현장품질감사";#N/A,#N/A,FALSE,"현장품질감사"}</definedName>
    <definedName name="wwwwwww" hidden="1">{#N/A,#N/A,FALSE,"현장 NCR 분석";#N/A,#N/A,FALSE,"현장품질감사";#N/A,#N/A,FALSE,"현장품질감사"}</definedName>
    <definedName name="x" hidden="1">{#N/A,#N/A,FALSE,"운반시간"}</definedName>
    <definedName name="XCVBGSDFGSER" hidden="1">#REF!</definedName>
    <definedName name="xdgr" hidden="1">{"'Sheet1'!$A$4","'Sheet1'!$A$9:$G$28"}</definedName>
    <definedName name="xhrhd" hidden="1">{#N/A,#N/A,FALSE,"토공2"}</definedName>
    <definedName name="XL동림010" hidden="1">{#N/A,#N/A,FALSE,"현장 NCR 분석";#N/A,#N/A,FALSE,"현장품질감사";#N/A,#N/A,FALSE,"현장품질감사"}</definedName>
    <definedName name="xmrrlwhrjs" localSheetId="0" hidden="1">{#N/A,#N/A,FALSE,"현장 NCR 분석";#N/A,#N/A,FALSE,"현장품질감사";#N/A,#N/A,FALSE,"현장품질감사"}</definedName>
    <definedName name="xmrrlwhrjs" hidden="1">{#N/A,#N/A,FALSE,"현장 NCR 분석";#N/A,#N/A,FALSE,"현장품질감사";#N/A,#N/A,FALSE,"현장품질감사"}</definedName>
    <definedName name="xx" hidden="1">#REF!</definedName>
    <definedName name="xxca" localSheetId="0" hidden="1">{"'Firr(선)'!$AS$1:$AY$62","'Firr(사)'!$AS$1:$AY$62","'Firr(회)'!$AS$1:$AY$62","'Firr(선)'!$L$1:$V$62","'Firr(사)'!$L$1:$V$62","'Firr(회)'!$L$1:$V$62"}</definedName>
    <definedName name="xxca" hidden="1">{"'Firr(선)'!$AS$1:$AY$62","'Firr(사)'!$AS$1:$AY$62","'Firr(회)'!$AS$1:$AY$62","'Firr(선)'!$L$1:$V$62","'Firr(사)'!$L$1:$V$62","'Firr(회)'!$L$1:$V$62"}</definedName>
    <definedName name="xxx" hidden="1">#REF!</definedName>
    <definedName name="xxxx" hidden="1">{#N/A,#N/A,FALSE,"표지목차"}</definedName>
    <definedName name="xxxxc" hidden="1">{#N/A,#N/A,FALSE,"조골재"}</definedName>
    <definedName name="XXXXXX" hidden="1">{"'공사부문'!$A$6:$A$32"}</definedName>
    <definedName name="y5bewy5vgr" hidden="1">{#N/A,#N/A,FALSE,"운반시간"}</definedName>
    <definedName name="YBG견적서통" hidden="1">{#N/A,#N/A,TRUE,"손익보고"}</definedName>
    <definedName name="YDUFD" hidden="1">{#N/A,#N/A,FALSE,"조골재"}</definedName>
    <definedName name="YIFJ" hidden="1">{#N/A,#N/A,FALSE,"골재소요량";#N/A,#N/A,FALSE,"골재소요량"}</definedName>
    <definedName name="ykjyukuy" localSheetId="0" hidden="1">{#N/A,#N/A,FALSE,"현장 NCR 분석";#N/A,#N/A,FALSE,"현장품질감사";#N/A,#N/A,FALSE,"현장품질감사"}</definedName>
    <definedName name="ykjyukuy" hidden="1">{#N/A,#N/A,FALSE,"현장 NCR 분석";#N/A,#N/A,FALSE,"현장품질감사";#N/A,#N/A,FALSE,"현장품질감사"}</definedName>
    <definedName name="yr" hidden="1">{#N/A,#N/A,FALSE,"부대2"}</definedName>
    <definedName name="yth" hidden="1">{#N/A,#N/A,FALSE,"포장1";#N/A,#N/A,FALSE,"포장1"}</definedName>
    <definedName name="ytrytwyt" hidden="1">#REF!</definedName>
    <definedName name="YTYT" hidden="1">#REF!</definedName>
    <definedName name="ytytytyty" hidden="1">#REF!</definedName>
    <definedName name="yuy" hidden="1">{#N/A,#N/A,FALSE,"단가표지"}</definedName>
    <definedName name="YUYUY" hidden="1">{#N/A,#N/A,FALSE,"혼합골재"}</definedName>
    <definedName name="yvdfvhd" hidden="1">{#N/A,#N/A,FALSE,"이정표"}</definedName>
    <definedName name="ywrtvwvy" hidden="1">{#N/A,#N/A,FALSE,"부대1"}</definedName>
    <definedName name="yy" hidden="1">{#N/A,#N/A,FALSE,"단가표지"}</definedName>
    <definedName name="yyty" hidden="1">#REF!</definedName>
    <definedName name="YYY" hidden="1">{#N/A,#N/A,TRUE,"Y생산";#N/A,#N/A,TRUE,"Y판매";#N/A,#N/A,TRUE,"Y총물량";#N/A,#N/A,TRUE,"Y능력";#N/A,#N/A,TRUE,"YKD"}</definedName>
    <definedName name="yyyhh" localSheetId="0" hidden="1">{#N/A,#N/A,FALSE,"현장 NCR 분석";#N/A,#N/A,FALSE,"현장품질감사";#N/A,#N/A,FALSE,"현장품질감사"}</definedName>
    <definedName name="yyyhh" hidden="1">{#N/A,#N/A,FALSE,"현장 NCR 분석";#N/A,#N/A,FALSE,"현장품질감사";#N/A,#N/A,FALSE,"현장품질감사"}</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yh" hidden="1">#REF!</definedName>
    <definedName name="yyyyyy" hidden="1">{#N/A,#N/A,FALSE,"조골재"}</definedName>
    <definedName name="yyyyyyyyyyyyy" hidden="1">#REF!</definedName>
    <definedName name="z" hidden="1">{#N/A,#N/A,FALSE,"2~8번"}</definedName>
    <definedName name="Z_2C052020_706B_11D1_990E_444553540000_.wvu.PrintArea" hidden="1">#REF!</definedName>
    <definedName name="Z_2C052020_706B_11D1_990E_444553540000_.wvu.PrintTitles" hidden="1">#REF!</definedName>
    <definedName name="Z_2C052020_706B_11D1_990E_444553540000_.wvu.Rows" hidden="1">#REF!</definedName>
    <definedName name="Z_4F74ED08_7DE6_11D4_BC29_005004C1F3AD_.wvu.PrintTitles" hidden="1">#REF!</definedName>
    <definedName name="Z_6332A1C3_4451_11D5_8DF3_00C026000EEF_.wvu.PrintTitles" hidden="1">#REF!</definedName>
    <definedName name="Z_A980B765_13D2_11D1_A0FF_444553540000_.wvu.PrintArea" hidden="1">#REF!</definedName>
    <definedName name="Z_A980B765_13D2_11D1_A0FF_444553540000_.wvu.PrintTitles" hidden="1">#REF!</definedName>
    <definedName name="Z_A980B765_13D2_11D1_A0FF_444553540000_.wvu.Rows" hidden="1">#REF!</definedName>
    <definedName name="Z_DB8AC590_3D3A_11D5_BCB0_000021EC112A_.wvu.Cols" hidden="1">#REF!</definedName>
    <definedName name="Z_DB8AC590_3D3A_11D5_BCB0_000021EC112A_.wvu.PrintArea" hidden="1">#REF!</definedName>
    <definedName name="Z_DB8AC590_3D3A_11D5_BCB0_000021EC112A_.wvu.PrintTitles" hidden="1">#REF!</definedName>
    <definedName name="Z_DB8AC590_3D3A_11D5_BCB0_000021EC112A_.wvu.Rows" hidden="1">#REF!,#REF!</definedName>
    <definedName name="za" localSheetId="0" hidden="1">#REF!</definedName>
    <definedName name="za" hidden="1">#REF!</definedName>
    <definedName name="zx" hidden="1">#REF!</definedName>
    <definedName name="ZXC" hidden="1">{#N/A,#N/A,FALSE,"이태원철근"}</definedName>
    <definedName name="zxcv" hidden="1">{#N/A,#N/A,FALSE,"혼합골재"}</definedName>
    <definedName name="zxv" hidden="1">{#N/A,#N/A,FALSE,"표지목차"}</definedName>
    <definedName name="zz" hidden="1">{#N/A,#N/A,FALSE,"견적갑지";#N/A,#N/A,FALSE,"총괄표";#N/A,#N/A,FALSE,"철골공사";#N/A,#N/A,FALSE,"토목공사";#N/A,#N/A,FALSE,"판넬전기공사"}</definedName>
    <definedName name="ZZZ" hidden="1">#N/A</definedName>
    <definedName name="φ406.4" hidden="1">{#N/A,#N/A,FALSE,"2~8번"}</definedName>
    <definedName name="ㄱ" hidden="1">#REF!</definedName>
    <definedName name="ㄱ32" hidden="1">#REF!</definedName>
    <definedName name="ㄱㄱ" hidden="1">{#N/A,#N/A,FALSE,"운반시간"}</definedName>
    <definedName name="ㄱㄱㄱㄱ" hidden="1">{#N/A,#N/A,FALSE,"구조1"}</definedName>
    <definedName name="ㄱㄱㄱㄱㄱ" localSheetId="0" hidden="1">{#N/A,#N/A,FALSE,"2~8번"}</definedName>
    <definedName name="ㄱㄱㄱㄱㄱ" hidden="1">{"'Sheet1'!$A$4","'Sheet1'!$A$9:$G$28"}</definedName>
    <definedName name="ㄱㄱㄱㄱㄱㄱㄱㄱㄱㄱㄱㄱㄱ" hidden="1">{#N/A,#N/A,FALSE,"단가표지"}</definedName>
    <definedName name="ㄱㄱㄱㄱㄱㄱㄱㄱㄱㄱㄱㄱㄱㄱㄱㄱ" hidden="1">{#N/A,#N/A,FALSE,"골재소요량";#N/A,#N/A,FALSE,"골재소요량"}</definedName>
    <definedName name="ㄱㄱㄱㄱㄱㄱㄱㄱㄱㄱㄱㄱㄱㄱㄱㄱㄱㄱ" hidden="1">{#N/A,#N/A,FALSE,"조골재"}</definedName>
    <definedName name="ㄱㄱㄷ" hidden="1">{#N/A,#N/A,TRUE,"토적및재료집계";#N/A,#N/A,TRUE,"토적및재료집계";#N/A,#N/A,TRUE,"단위량"}</definedName>
    <definedName name="ㄱㄳㄳ" hidden="1">{#N/A,#N/A,FALSE,"2~8번"}</definedName>
    <definedName name="ㄱㄳㅅ" hidden="1">{#N/A,#N/A,FALSE,"배수1"}</definedName>
    <definedName name="ㄱㄴ슌ㄱ" hidden="1">{#N/A,#N/A,FALSE,"단가표지"}</definedName>
    <definedName name="ㄱㄷㄱㄷ" localSheetId="0" hidden="1">{#N/A,#N/A,FALSE,"2~8번"}</definedName>
    <definedName name="ㄱㄷㄱㄷ" hidden="1">{#N/A,#N/A,FALSE,"현장 NCR 분석";#N/A,#N/A,FALSE,"현장품질감사";#N/A,#N/A,FALSE,"현장품질감사"}</definedName>
    <definedName name="ㄱㄷㄴ" hidden="1">#N/A</definedName>
    <definedName name="ㄱㄷㄴ슌ㄱ" hidden="1">{#N/A,#N/A,FALSE,"골재소요량";#N/A,#N/A,FALSE,"골재소요량"}</definedName>
    <definedName name="ㄱㄷㄷㅇㄹ" hidden="1">{#N/A,#N/A,FALSE,"골재소요량";#N/A,#N/A,FALSE,"골재소요량"}</definedName>
    <definedName name="ㄱㄷㅁㅍㅅㅂ" hidden="1">{#N/A,#N/A,FALSE,"골재소요량";#N/A,#N/A,FALSE,"골재소요량"}</definedName>
    <definedName name="ㄱㄷㅂㄱㅈ" hidden="1">{#N/A,#N/A,FALSE,"2~8번"}</definedName>
    <definedName name="ㄱㄷㅅㄱㅈㄷ" hidden="1">#REF!</definedName>
    <definedName name="ㄱㄷㅈ" hidden="1">{#N/A,#N/A,FALSE,"골재소요량";#N/A,#N/A,FALSE,"골재소요량"}</definedName>
    <definedName name="ㄱㄷㅈㄱㅂㅈㄷㄱ" hidden="1">#N/A</definedName>
    <definedName name="ㄱㄷㅈㅂㄱ" hidden="1">#N/A</definedName>
    <definedName name="ㄱㄷㅈㅂㄱㄷ" hidden="1">#N/A</definedName>
    <definedName name="ㄱㄷㅈㅂㄷ" hidden="1">#REF!</definedName>
    <definedName name="ㄱㄷㅎㅅㄷ4" hidden="1">{#N/A,#N/A,FALSE,"운반시간"}</definedName>
    <definedName name="ㄱㄹㅇㄹ" hidden="1">{#N/A,#N/A,FALSE,"표지목차"}</definedName>
    <definedName name="ㄱㄹㅈㄷㄱㅎ놓" hidden="1">#N/A</definedName>
    <definedName name="ㄱㅁ" hidden="1">#REF!</definedName>
    <definedName name="ㄱㅁㅎㅂㄷㅅㅂ24ㅅ134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ㄱㅂㄱㄹㄴㄾㅍ" hidden="1">{#N/A,#N/A,FALSE,"민감도"}</definedName>
    <definedName name="ㄱ쇼" hidden="1">#REF!</definedName>
    <definedName name="ㄱ숃교" hidden="1">#N/A</definedName>
    <definedName name="ㄱ슈" hidden="1">{#N/A,#N/A,FALSE,"혼합골재"}</definedName>
    <definedName name="ㄱㅇ" hidden="1">{#N/A,#N/A,FALSE,"단축1";#N/A,#N/A,FALSE,"단축2";#N/A,#N/A,FALSE,"단축3";#N/A,#N/A,FALSE,"장축";#N/A,#N/A,FALSE,"4WD"}</definedName>
    <definedName name="ㄱㅈㄷㄱㅈㄷ" hidden="1">#N/A</definedName>
    <definedName name="ㄱㅈㄷㅂㄱ" hidden="1">#N/A</definedName>
    <definedName name="ㄱㅈㄷㅂㄱㄷㅈㄱㅎㅀㄴㅇㅀㄹ" hidden="1">#N/A</definedName>
    <definedName name="ㄱㅈㅂㄱㄷ" hidden="1">#N/A</definedName>
    <definedName name="ㄱㅈㅎ" hidden="1">#REF!</definedName>
    <definedName name="가1" localSheetId="0" hidden="1">{#N/A,#N/A,FALSE,"2~8번"}</definedName>
    <definedName name="가1" hidden="1">{#N/A,#N/A,TRUE,"Y생산";#N/A,#N/A,TRUE,"Y판매";#N/A,#N/A,TRUE,"Y총물량";#N/A,#N/A,TRUE,"Y능력";#N/A,#N/A,TRUE,"YKD"}</definedName>
    <definedName name="가2" hidden="1">{#N/A,#N/A,FALSE,"골재소요량";#N/A,#N/A,FALSE,"골재소요량"}</definedName>
    <definedName name="가3" hidden="1">{#N/A,#N/A,FALSE,"단가표지"}</definedName>
    <definedName name="가가가" hidden="1">{#N/A,#N/A,FALSE,"부대1"}</definedName>
    <definedName name="가격조사" hidden="1">{#N/A,#N/A,FALSE,"Sheet1"}</definedName>
    <definedName name="가공장"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가구사" hidden="1">{#N/A,#N/A,FALSE,"현장 NCR 분석";#N/A,#N/A,FALSE,"현장품질감사";#N/A,#N/A,FALSE,"현장품질감사"}</definedName>
    <definedName name="가나" localSheetId="0" hidden="1">{"'정산내역서'!$A$1:$I$35","'정산서(절.성토부)'!$A$1:$Q$17","'정산서(교량부)'!$A$1:$Q$84","'총괄표'!$A$1:$M$12","'시행현황'!$A$1:$G$12","'표지'!$A$1:$N$27","'정산서(절.성토부)'!$A$3:$Q$7"}</definedName>
    <definedName name="가나" hidden="1">{"'정산내역서'!$A$1:$I$35","'정산서(절.성토부)'!$A$1:$Q$17","'정산서(교량부)'!$A$1:$Q$84","'총괄표'!$A$1:$M$12","'시행현황'!$A$1:$G$12","'표지'!$A$1:$N$27","'정산서(절.성토부)'!$A$3:$Q$7"}</definedName>
    <definedName name="가나다" hidden="1">#REF!</definedName>
    <definedName name="가나다라" hidden="1">{#N/A,#N/A,TRUE,"운반시간"}</definedName>
    <definedName name="가나다라마바사" hidden="1">{#N/A,#N/A,FALSE,"명세표"}</definedName>
    <definedName name="가나다라마사" hidden="1">{#N/A,#N/A,FALSE,"운반시간"}</definedName>
    <definedName name="가도" hidden="1">#REF!</definedName>
    <definedName name="가도토적" hidden="1">#REF!</definedName>
    <definedName name="가동" hidden="1">{#N/A,#N/A,TRUE,"Y생산";#N/A,#N/A,TRUE,"Y판매";#N/A,#N/A,TRUE,"Y총물량";#N/A,#N/A,TRUE,"Y능력";#N/A,#N/A,TRUE,"YKD"}</definedName>
    <definedName name="가동2" hidden="1">{#N/A,#N/A,TRUE,"Y생산";#N/A,#N/A,TRUE,"Y판매";#N/A,#N/A,TRUE,"Y총물량";#N/A,#N/A,TRUE,"Y능력";#N/A,#N/A,TRUE,"YKD"}</definedName>
    <definedName name="가동조건" hidden="1">{#N/A,#N/A,FALSE,"96 3월물량표";#N/A,#N/A,FALSE,"96 4월물량표";#N/A,#N/A,FALSE,"96 5월물량표"}</definedName>
    <definedName name="가드레일집계" hidden="1">{#N/A,#N/A,FALSE,"2~8번"}</definedName>
    <definedName name="가락" hidden="1">{#N/A,#N/A,FALSE,"현장 NCR 분석";#N/A,#N/A,FALSE,"현장품질감사";#N/A,#N/A,FALSE,"현장품질감사"}</definedName>
    <definedName name="가락2" hidden="1">{#N/A,#N/A,FALSE,"현장 NCR 분석";#N/A,#N/A,FALSE,"현장품질감사";#N/A,#N/A,FALSE,"현장품질감사"}</definedName>
    <definedName name="가로" hidden="1">{#N/A,#N/A,FALSE,"전력간선"}</definedName>
    <definedName name="가로내역서" hidden="1">{#N/A,#N/A,FALSE,"이태원철근"}</definedName>
    <definedName name="가배수로집계표" localSheetId="0" hidden="1">{"'정산내역서'!$A$1:$I$35","'정산서(절.성토부)'!$A$1:$Q$17","'정산서(교량부)'!$A$1:$Q$84","'총괄표'!$A$1:$M$12","'시행현황'!$A$1:$G$12","'표지'!$A$1:$N$27","'정산서(절.성토부)'!$A$3:$Q$7"}</definedName>
    <definedName name="가배수로집계표" hidden="1">{"'정산내역서'!$A$1:$I$35","'정산서(절.성토부)'!$A$1:$Q$17","'정산서(교량부)'!$A$1:$Q$84","'총괄표'!$A$1:$M$12","'시행현황'!$A$1:$G$12","'표지'!$A$1:$N$27","'정산서(절.성토부)'!$A$3:$Q$7"}</definedName>
    <definedName name="가살판넬1" hidden="1">#REF!</definedName>
    <definedName name="가설" hidden="1">{#N/A,#N/A,FALSE,"속도"}</definedName>
    <definedName name="가설건물면적산정" hidden="1">{#N/A,#N/A,FALSE,"사업총괄";#N/A,#N/A,FALSE,"장비사업";#N/A,#N/A,FALSE,"철구사업";#N/A,#N/A,FALSE,"준설사업"}</definedName>
    <definedName name="가설공사" hidden="1">#REF!</definedName>
    <definedName name="가설방음벽" hidden="1">{#N/A,#N/A,FALSE,"골재소요량";#N/A,#N/A,FALSE,"골재소요량"}</definedName>
    <definedName name="가설판넬" hidden="1">#REF!</definedName>
    <definedName name="가설판넬및방진망" hidden="1">#REF!</definedName>
    <definedName name="가속" hidden="1">{#N/A,#N/A,FALSE,"현장 NCR 분석";#N/A,#N/A,FALSE,"현장품질감사";#N/A,#N/A,FALSE,"현장품질감사"}</definedName>
    <definedName name="가아" hidden="1">#REF!</definedName>
    <definedName name="가아나" hidden="1">{#N/A,#N/A,TRUE,"Y생산";#N/A,#N/A,TRUE,"Y판매";#N/A,#N/A,TRUE,"Y총물량";#N/A,#N/A,TRUE,"Y능력";#N/A,#N/A,TRUE,"YKD"}</definedName>
    <definedName name="가옥" hidden="1">{#N/A,#N/A,FALSE,"속도"}</definedName>
    <definedName name="가을" hidden="1">{#N/A,#N/A,TRUE,"Y생산";#N/A,#N/A,TRUE,"Y판매";#N/A,#N/A,TRUE,"Y총물량";#N/A,#N/A,TRUE,"Y능력";#N/A,#N/A,TRUE,"YKD"}</definedName>
    <definedName name="각가가가가가ㅏㄱ" hidden="1">#REF!</definedName>
    <definedName name="간" hidden="1">{#N/A,#N/A,FALSE,"명세표"}</definedName>
    <definedName name="간성" hidden="1">{#N/A,#N/A,FALSE,"전력간선"}</definedName>
    <definedName name="간수" hidden="1">{#N/A,#N/A,FALSE,"2~8번"}</definedName>
    <definedName name="간접공사비1" hidden="1">{#N/A,#N/A,FALSE,"현장 NCR 분석";#N/A,#N/A,FALSE,"현장품질감사";#N/A,#N/A,FALSE,"현장품질감사"}</definedName>
    <definedName name="간접공사비내역" hidden="1">{#N/A,#N/A,FALSE,"현장 NCR 분석";#N/A,#N/A,FALSE,"현장품질감사";#N/A,#N/A,FALSE,"현장품질감사"}</definedName>
    <definedName name="간접보상비" hidden="1">{#N/A,#N/A,FALSE,"현장 NCR 분석";#N/A,#N/A,FALSE,"현장품질감사";#N/A,#N/A,FALSE,"현장품질감사"}</definedName>
    <definedName name="간접비.ncr" hidden="1">{#N/A,#N/A,FALSE,"현장 NCR 분석";#N/A,#N/A,FALSE,"현장품질감사";#N/A,#N/A,FALSE,"현장품질감사"}</definedName>
    <definedName name="간지" localSheetId="0" hidden="1">#REF!</definedName>
    <definedName name="간지" hidden="1">{#N/A,#N/A,FALSE,"토공2"}</definedName>
    <definedName name="간지제목" hidden="1">{"'경비표'!$A$1:$H$299","'경비표'!$G$174","'경비표'!$A$1:$H$1"}</definedName>
    <definedName name="감독2" hidden="1">{#N/A,#N/A,FALSE,"단가표지"}</definedName>
    <definedName name="감독3" hidden="1">{#N/A,#N/A,FALSE,"단가표지"}</definedName>
    <definedName name="감로건설"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감리단" hidden="1">{#N/A,#N/A,FALSE,"현장 NCR 분석";#N/A,#N/A,FALSE,"현장품질감사";#N/A,#N/A,FALSE,"현장품질감사"}</definedName>
    <definedName name="감리상주" localSheetId="0" hidden="1">{#N/A,#N/A,FALSE,"지침";#N/A,#N/A,FALSE,"환경분석";#N/A,#N/A,FALSE,"Sheet16"}</definedName>
    <definedName name="감리상주" hidden="1">{#N/A,#N/A,FALSE,"지침";#N/A,#N/A,FALSE,"환경분석";#N/A,#N/A,FALSE,"Sheet16"}</definedName>
    <definedName name="갑지" hidden="1">#REF!</definedName>
    <definedName name="갑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갑지1" hidden="1">#REF!</definedName>
    <definedName name="갑지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갑지8" hidden="1">{#N/A,#N/A,FALSE,"전력간선"}</definedName>
    <definedName name="갑지변경" hidden="1">{#N/A,#N/A,FALSE,"전력간선"}</definedName>
    <definedName name="갑지변경1" hidden="1">{#N/A,#N/A,FALSE,"전력간선"}</definedName>
    <definedName name="갑지변경2" hidden="1">{#N/A,#N/A,FALSE,"전력간선"}</definedName>
    <definedName name="갑지변경3" hidden="1">{#N/A,#N/A,FALSE,"전력간선"}</definedName>
    <definedName name="갑지변경4" hidden="1">{#N/A,#N/A,FALSE,"전력간선"}</definedName>
    <definedName name="갑지변경5" hidden="1">{#N/A,#N/A,FALSE,"전력간선"}</definedName>
    <definedName name="갑지변경6" hidden="1">{#N/A,#N/A,FALSE,"전력간선"}</definedName>
    <definedName name="갑지변경7" hidden="1">{#N/A,#N/A,FALSE,"전력간선"}</definedName>
    <definedName name="갑지변경8" hidden="1">{#N/A,#N/A,FALSE,"전력간선"}</definedName>
    <definedName name="갑지변경9" hidden="1">{#N/A,#N/A,FALSE,"전력간선"}</definedName>
    <definedName name="갑지임" hidden="1">#REF!</definedName>
    <definedName name="갑표지" hidden="1">{#N/A,#N/A,FALSE,"부대1"}</definedName>
    <definedName name="강경욱" hidden="1">{#N/A,#N/A,FALSE,"골재소요량";#N/A,#N/A,FALSE,"골재소요량"}</definedName>
    <definedName name="강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hidden="1">{#N/A,#N/A,FALSE,"포장2"}</definedName>
    <definedName name="강구조물" hidden="1">{#N/A,#N/A,FALSE,"포장1";#N/A,#N/A,FALSE,"포장1"}</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리단" hidden="1">{#N/A,#N/A,FALSE,"현장 NCR 분석";#N/A,#N/A,FALSE,"현장품질감사";#N/A,#N/A,FALSE,"현장품질감사"}</definedName>
    <definedName name="강성일" hidden="1">{#N/A,#N/A,FALSE,"월공사비집계표양식 (7)";#N/A,#N/A,FALSE,"월공사비집계표양식 (7)"}</definedName>
    <definedName name="강아지" hidden="1">#REF!</definedName>
    <definedName name="강원랜드" hidden="1">{TRUE,TRUE,-1.25,-15.5,484.5,239.25,FALSE,TRUE,TRUE,TRUE,0,1,#N/A,1,#N/A,7.07086614173228,8.95121951219512,1,FALSE,FALSE,3,TRUE,1,FALSE,100,"Swvu.매출입.","ACwvu.매출입.",#N/A,FALSE,FALSE,0.38,0.34,1.08,0.9,1,"&amp;C&amp;""바탕체,굵게""&amp;28&amp;E견     적     서","&amp;C&amp;""바탕체,굵게""&amp;20동  원  전  기",FALSE,FALSE,FALSE,FALSE,1,100,#N/A,#N/A,FALSE,FALSE,#N/A,#N/A,FALSE,FALSE,TRUE,9,0,0,FALSE,FALSE,TRUE,TRUE,TRUE}</definedName>
    <definedName name="강재" hidden="1">{#N/A,#N/A,FALSE,"배수1"}</definedName>
    <definedName name="개거" hidden="1">#REF!</definedName>
    <definedName name="개선내요" hidden="1">{#N/A,#N/A,TRUE,"Y생산";#N/A,#N/A,TRUE,"Y판매";#N/A,#N/A,TRUE,"Y총물량";#N/A,#N/A,TRUE,"Y능력";#N/A,#N/A,TRUE,"YKD"}</definedName>
    <definedName name="개선내용" hidden="1">{#N/A,#N/A,TRUE,"Y생산";#N/A,#N/A,TRUE,"Y판매";#N/A,#N/A,TRUE,"Y총물량";#N/A,#N/A,TRUE,"Y능력";#N/A,#N/A,TRUE,"YKD"}</definedName>
    <definedName name="개선실적" hidden="1">{#N/A,#N/A,TRUE,"Y생산";#N/A,#N/A,TRUE,"Y판매";#N/A,#N/A,TRUE,"Y총물량";#N/A,#N/A,TRUE,"Y능력";#N/A,#N/A,TRUE,"YKD"}</definedName>
    <definedName name="개소별명세표" hidden="1">{#N/A,#N/A,FALSE,"명세표"}</definedName>
    <definedName name="개지랄5" hidden="1">#REF!</definedName>
    <definedName name="거" hidden="1">{#N/A,#N/A,FALSE,"단면 제원"}</definedName>
    <definedName name="거거" hidden="1">{#N/A,#N/A,TRUE,"Y생산";#N/A,#N/A,TRUE,"Y판매";#N/A,#N/A,TRUE,"Y총물량";#N/A,#N/A,TRUE,"Y능력";#N/A,#N/A,TRUE,"YKD"}</definedName>
    <definedName name="거러나당신으눈구세요" hidden="1">{#N/A,#N/A,FALSE,"전력간선"}</definedName>
    <definedName name="거부" hidden="1">{#N/A,#N/A,FALSE,"현장 NCR 분석";#N/A,#N/A,FALSE,"현장품질감사";#N/A,#N/A,FALSE,"현장품질감사"}</definedName>
    <definedName name="거시기" hidden="1">{#N/A,#N/A,FALSE,"골재소요량";#N/A,#N/A,FALSE,"골재소요량"}</definedName>
    <definedName name="거실" hidden="1">{#N/A,#N/A,FALSE,"현장 NCR 분석";#N/A,#N/A,FALSE,"현장품질감사";#N/A,#N/A,FALSE,"현장품질감사"}</definedName>
    <definedName name="거실마루" hidden="1">{#N/A,#N/A,FALSE,"현장 NCR 분석";#N/A,#N/A,FALSE,"현장품질감사";#N/A,#N/A,FALSE,"현장품질감사"}</definedName>
    <definedName name="거ㅏ" hidden="1">#REF!</definedName>
    <definedName name="거ㅣㅣ" hidden="1">{#N/A,#N/A,FALSE,"단가표지"}</definedName>
    <definedName name="건물조사" hidden="1">{#N/A,#N/A,FALSE,"2~8번"}</definedName>
    <definedName name="건열" hidden="1">{#N/A,#N/A,TRUE,"Y생산";#N/A,#N/A,TRUE,"Y판매";#N/A,#N/A,TRUE,"Y총물량";#N/A,#N/A,TRUE,"Y능력";#N/A,#N/A,TRUE,"YKD"}</definedName>
    <definedName name="건원" hidden="1">{#N/A,#N/A,TRUE,"총괄"}</definedName>
    <definedName name="건축" localSheetId="0" hidden="1">{#N/A,#N/A,TRUE,"토적및재료집계";#N/A,#N/A,TRUE,"토적및재료집계";#N/A,#N/A,TRUE,"단위량"}</definedName>
    <definedName name="건축" hidden="1">{#N/A,#N/A,TRUE,"토적및재료집계";#N/A,#N/A,TRUE,"토적및재료집계";#N/A,#N/A,TRUE,"단위량"}</definedName>
    <definedName name="건축가실" hidden="1">#REF!</definedName>
    <definedName name="건축원가" localSheetId="0" hidden="1">#REF!</definedName>
    <definedName name="건축원가" hidden="1">#REF!</definedName>
    <definedName name="건축토공" localSheetId="0" hidden="1">{#N/A,#N/A,FALSE,"기안지";#N/A,#N/A,FALSE,"통신지"}</definedName>
    <definedName name="건축토공" hidden="1">{#N/A,#N/A,FALSE,"기안지";#N/A,#N/A,FALSE,"통신지"}</definedName>
    <definedName name="검사조서" hidden="1">{#N/A,#N/A,FALSE,"현장 NCR 분석";#N/A,#N/A,FALSE,"현장품질감사";#N/A,#N/A,FALSE,"현장품질감사"}</definedName>
    <definedName name="검토2" hidden="1">{#N/A,#N/A,FALSE,"Sheet1"}</definedName>
    <definedName name="검토서D" hidden="1">{#N/A,#N/A,FALSE,"현장 NCR 분석";#N/A,#N/A,FALSE,"현장품질감사";#N/A,#N/A,FALSE,"현장품질감사"}</definedName>
    <definedName name="것" hidden="1">{#N/A,#N/A,FALSE,"골재소요량";#N/A,#N/A,FALSE,"골재소요량"}</definedName>
    <definedName name="게" hidden="1">{#N/A,#N/A,FALSE,"혼합골재"}</definedName>
    <definedName name="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 hidden="1">#REF!</definedName>
    <definedName name="견적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hidden="1">{#N/A,#N/A,FALSE,"CCTV"}</definedName>
    <definedName name="견적계산" hidden="1">{#N/A,#N/A,TRUE,"토적및재료집계";#N/A,#N/A,TRUE,"토적및재료집계";#N/A,#N/A,TRUE,"단위량"}</definedName>
    <definedName name="견적내역" hidden="1">{#N/A,#N/A,FALSE,"CCTV"}</definedName>
    <definedName name="견적대비" hidden="1">{#N/A,#N/A,FALSE,"포장2"}</definedName>
    <definedName name="견적대비표" hidden="1">#REF!</definedName>
    <definedName name="견적서" localSheetId="0" hidden="1">{#N/A,#N/A,FALSE,"구조2"}</definedName>
    <definedName name="견적서" hidden="1">{#N/A,#N/A,FALSE,"구조2"}</definedName>
    <definedName name="견적서틀" hidden="1">{#N/A,#N/A,FALSE,"UNIT";#N/A,#N/A,FALSE,"UNIT";#N/A,#N/A,FALSE,"계정"}</definedName>
    <definedName name="결" hidden="1">{#N/A,#N/A,FALSE,"포장2"}</definedName>
    <definedName name="결과" hidden="1">{#N/A,#N/A,FALSE,"포장2"}</definedName>
    <definedName name="경" hidden="1">{#N/A,#N/A,FALSE,"견적갑지";#N/A,#N/A,FALSE,"총괄표";#N/A,#N/A,FALSE,"철골공사";#N/A,#N/A,FALSE,"토목공사";#N/A,#N/A,FALSE,"판넬전기공사"}</definedName>
    <definedName name="경계블럭연장" hidden="1">#REF!</definedName>
    <definedName name="경계석보수" hidden="1">{#N/A,#N/A,FALSE,"현장 NCR 분석";#N/A,#N/A,FALSE,"현장품질감사";#N/A,#N/A,FALSE,"현장품질감사"}</definedName>
    <definedName name="경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로" hidden="1">{#N/A,#N/A,TRUE,"Y생산";#N/A,#N/A,TRUE,"Y판매";#N/A,#N/A,TRUE,"Y총물량";#N/A,#N/A,TRUE,"Y능력";#N/A,#N/A,TRUE,"YKD"}</definedName>
    <definedName name="경비1" hidden="1">#REF!</definedName>
    <definedName name="경윤" hidden="1">{"'Sheet1'!$A$4","'Sheet1'!$A$9:$G$28"}</definedName>
    <definedName name="경춘선" localSheetId="0" hidden="1">{#N/A,#N/A,FALSE,"현장 NCR 분석";#N/A,#N/A,FALSE,"현장품질감사";#N/A,#N/A,FALSE,"현장품질감사"}</definedName>
    <definedName name="경춘선" hidden="1">{#N/A,#N/A,FALSE,"현장 NCR 분석";#N/A,#N/A,FALSE,"현장품질감사";#N/A,#N/A,FALSE,"현장품질감사"}</definedName>
    <definedName name="경합금2과운연계획" hidden="1">{#N/A,#N/A,TRUE,"Y생산";#N/A,#N/A,TRUE,"Y판매";#N/A,#N/A,TRUE,"Y총물량";#N/A,#N/A,TRUE,"Y능력";#N/A,#N/A,TRUE,"YKD"}</definedName>
    <definedName name="계약의뢰" hidden="1">#REF!</definedName>
    <definedName name="계장공사" hidden="1">{#N/A,#N/A,FALSE,"CCTV"}</definedName>
    <definedName name="계전2" hidden="1">#REF!</definedName>
    <definedName name="계정종합표" hidden="1">{#N/A,#N/A,TRUE,"Y생산";#N/A,#N/A,TRUE,"Y판매";#N/A,#N/A,TRUE,"Y총물량";#N/A,#N/A,TRUE,"Y능력";#N/A,#N/A,TRUE,"YKD"}</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localSheetId="0" hidden="1">{#N/A,#N/A,FALSE,"조골재"}</definedName>
    <definedName name="고" hidden="1">{#N/A,#N/A,FALSE,"조골재"}</definedName>
    <definedName name="고1" hidden="1">{#N/A,#N/A,FALSE,"조골재"}</definedName>
    <definedName name="고경준" hidden="1">{#N/A,#N/A,FALSE,"골재소요량";#N/A,#N/A,FALSE,"골재소요량"}</definedName>
    <definedName name="고고" hidden="1">{#N/A,#N/A,FALSE,"조골재"}</definedName>
    <definedName name="고고.." hidden="1">{#N/A,#N/A,FALSE,"골재소요량";#N/A,#N/A,FALSE,"골재소요량"}</definedName>
    <definedName name="고령" localSheetId="0" hidden="1">{#N/A,#N/A,FALSE,"현장 NCR 분석";#N/A,#N/A,FALSE,"현장품질감사";#N/A,#N/A,FALSE,"현장품질감사"}</definedName>
    <definedName name="고령" hidden="1">{#N/A,#N/A,FALSE,"현장 NCR 분석";#N/A,#N/A,FALSE,"현장품질감사";#N/A,#N/A,FALSE,"현장품질감사"}</definedName>
    <definedName name="고문" hidden="1">{#N/A,#N/A,FALSE,"현장 NCR 분석";#N/A,#N/A,FALSE,"현장품질감사";#N/A,#N/A,FALSE,"현장품질감사"}</definedName>
    <definedName name="고소" hidden="1">#REF!</definedName>
    <definedName name="곡동" localSheetId="0" hidden="1">{"'Firr(선)'!$AS$1:$AY$62","'Firr(사)'!$AS$1:$AY$62","'Firr(회)'!$AS$1:$AY$62","'Firr(선)'!$L$1:$V$62","'Firr(사)'!$L$1:$V$62","'Firr(회)'!$L$1:$V$62"}</definedName>
    <definedName name="곡동" hidden="1">{"'Firr(선)'!$AS$1:$AY$62","'Firr(사)'!$AS$1:$AY$62","'Firr(회)'!$AS$1:$AY$62","'Firr(선)'!$L$1:$V$62","'Firr(사)'!$L$1:$V$62","'Firr(회)'!$L$1:$V$62"}</definedName>
    <definedName name="곤충리스트" hidden="1">{"'용역비'!$A$4:$C$8"}</definedName>
    <definedName name="골재" hidden="1">{#N/A,#N/A,FALSE,"골재소요량";#N/A,#N/A,FALSE,"골재소요량"}</definedName>
    <definedName name="골조공사2" hidden="1">#N/A</definedName>
    <definedName name="골조공사견적비교2" hidden="1">#N/A</definedName>
    <definedName name="골조변경" hidden="1">{#N/A,#N/A,FALSE,"Sheet1"}</definedName>
    <definedName name="골조주요단가업" hidden="1">#N/A</definedName>
    <definedName name="공" hidden="1">{#N/A,#N/A,FALSE,"토공2"}</definedName>
    <definedName name="공감비" hidden="1">{#N/A,#N/A,FALSE,"포장단가"}</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기1" hidden="1">#REF!</definedName>
    <definedName name="공단임대장비사용료" hidden="1">{#N/A,#N/A,FALSE,"명세표"}</definedName>
    <definedName name="공동구토공" localSheetId="0" hidden="1">{#N/A,#N/A,FALSE,"기안지";#N/A,#N/A,FALSE,"통신지"}</definedName>
    <definedName name="공동구토공" hidden="1">{#N/A,#N/A,FALSE,"기안지";#N/A,#N/A,FALSE,"통신지"}</definedName>
    <definedName name="공문1" hidden="1">{#N/A,#N/A,FALSE,"현장 NCR 분석";#N/A,#N/A,FALSE,"현장품질감사";#N/A,#N/A,FALSE,"현장품질감사"}</definedName>
    <definedName name="공문2" hidden="1">{#N/A,#N/A,FALSE,"현장 NCR 분석";#N/A,#N/A,FALSE,"현장품질감사";#N/A,#N/A,FALSE,"현장품질감사"}</definedName>
    <definedName name="공문3" hidden="1">{#N/A,#N/A,FALSE,"현장 NCR 분석";#N/A,#N/A,FALSE,"현장품질감사";#N/A,#N/A,FALSE,"현장품질감사"}</definedName>
    <definedName name="공문4" hidden="1">{#N/A,#N/A,FALSE,"현장 NCR 분석";#N/A,#N/A,FALSE,"현장품질감사";#N/A,#N/A,FALSE,"현장품질감사"}</definedName>
    <definedName name="공문5" hidden="1">{#N/A,#N/A,FALSE,"현장 NCR 분석";#N/A,#N/A,FALSE,"현장품질감사";#N/A,#N/A,FALSE,"현장품질감사"}</definedName>
    <definedName name="공문6" hidden="1">{#N/A,#N/A,FALSE,"현장 NCR 분석";#N/A,#N/A,FALSE,"현장품질감사";#N/A,#N/A,FALSE,"현장품질감사"}</definedName>
    <definedName name="공법별공법2" hidden="1">{#N/A,#N/A,FALSE,"Sheet1"}</definedName>
    <definedName name="공법별금액" hidden="1">{#N/A,#N/A,FALSE,"Sheet1"}</definedName>
    <definedName name="공사" hidden="1">{#N/A,#N/A,FALSE,"포장2"}</definedName>
    <definedName name="공사개요1" hidden="1">{#N/A,#N/A,FALSE,"지침";#N/A,#N/A,FALSE,"환경분석";#N/A,#N/A,FALSE,"Sheet16"}</definedName>
    <definedName name="공사비분석" hidden="1">#REF!</definedName>
    <definedName name="공사비이동조서" hidden="1">{#N/A,#N/A,FALSE,"포장단가"}</definedName>
    <definedName name="공사설계서표지"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공사시방서" hidden="1">{#N/A,#N/A,FALSE,"명세표"}</definedName>
    <definedName name="공사시방서1" hidden="1">{#N/A,#N/A,FALSE,"명세표"}</definedName>
    <definedName name="공사원가계산서" localSheetId="0" hidden="1">{#N/A,#N/A,TRUE,"토적및재료집계";#N/A,#N/A,TRUE,"토적및재료집계";#N/A,#N/A,TRUE,"단위량"}</definedName>
    <definedName name="공사원가계산서" hidden="1">{#N/A,#N/A,TRUE,"토적및재료집계";#N/A,#N/A,TRUE,"토적및재료집계";#N/A,#N/A,TRUE,"단위량"}</definedName>
    <definedName name="공사준공표시석" hidden="1">{#N/A,#N/A,FALSE,"골재소요량";#N/A,#N/A,FALSE,"골재소요량"}</definedName>
    <definedName name="공원계산서" hidden="1">{#N/A,#N/A,TRUE,"토적및재료집계";#N/A,#N/A,TRUE,"토적및재료집계";#N/A,#N/A,TRUE,"단위량"}</definedName>
    <definedName name="공장동" hidden="1">#REF!</definedName>
    <definedName name="공정표" hidden="1">{#N/A,#N/A,FALSE,"현장 NCR 분석";#N/A,#N/A,FALSE,"현장품질감사";#N/A,#N/A,FALSE,"현장품질감사"}</definedName>
    <definedName name="공제" hidden="1">#REF!</definedName>
    <definedName name="공종간지" hidden="1">#REF!</definedName>
    <definedName name="공ㅌ오" hidden="1">{#N/A,#N/A,TRUE,"Y생산";#N/A,#N/A,TRUE,"Y판매";#N/A,#N/A,TRUE,"Y총물량";#N/A,#N/A,TRUE,"Y능력";#N/A,#N/A,TRUE,"YKD"}</definedName>
    <definedName name="공통가설" hidden="1">#REF!</definedName>
    <definedName name="공통비" hidden="1">#REF!</definedName>
    <definedName name="과목세목현황" hidden="1">{#N/A,#N/A,TRUE,"Y생산";#N/A,#N/A,TRUE,"Y판매";#N/A,#N/A,TRUE,"Y총물량";#N/A,#N/A,TRUE,"Y능력";#N/A,#N/A,TRUE,"YKD"}</definedName>
    <definedName name="곽동준" localSheetId="0" hidden="1">{"'Firr(선)'!$AS$1:$AY$62","'Firr(사)'!$AS$1:$AY$62","'Firr(회)'!$AS$1:$AY$62","'Firr(선)'!$L$1:$V$62","'Firr(사)'!$L$1:$V$62","'Firr(회)'!$L$1:$V$62"}</definedName>
    <definedName name="곽동준" hidden="1">{"'Firr(선)'!$AS$1:$AY$62","'Firr(사)'!$AS$1:$AY$62","'Firr(회)'!$AS$1:$AY$62","'Firr(선)'!$L$1:$V$62","'Firr(사)'!$L$1:$V$62","'Firr(회)'!$L$1:$V$62"}</definedName>
    <definedName name="곽동중" localSheetId="0" hidden="1">{"'Firr(선)'!$AS$1:$AY$62","'Firr(사)'!$AS$1:$AY$62","'Firr(회)'!$AS$1:$AY$62","'Firr(선)'!$L$1:$V$62","'Firr(사)'!$L$1:$V$62","'Firr(회)'!$L$1:$V$62"}</definedName>
    <definedName name="곽동중" hidden="1">{"'Firr(선)'!$AS$1:$AY$62","'Firr(사)'!$AS$1:$AY$62","'Firr(회)'!$AS$1:$AY$62","'Firr(선)'!$L$1:$V$62","'Firr(사)'!$L$1:$V$62","'Firr(회)'!$L$1:$V$62"}</definedName>
    <definedName name="관" hidden="1">{#N/A,#N/A,FALSE,"운반시간"}</definedName>
    <definedName name="관급3" hidden="1">{#N/A,#N/A,FALSE,"운반시간"}</definedName>
    <definedName name="관급조달" hidden="1">{#N/A,#N/A,FALSE,"Sheet1"}</definedName>
    <definedName name="관리" hidden="1">{#N/A,#N/A,FALSE,"포장2"}</definedName>
    <definedName name="관리비작성기준" hidden="1">#REF!</definedName>
    <definedName name="관리지표2" hidden="1">{#N/A,#N/A,TRUE,"Y생산";#N/A,#N/A,TRUE,"Y판매";#N/A,#N/A,TRUE,"Y총물량";#N/A,#N/A,TRUE,"Y능력";#N/A,#N/A,TRUE,"YKD"}</definedName>
    <definedName name="관부사" hidden="1">{#N/A,#N/A,FALSE,"현장 NCR 분석";#N/A,#N/A,FALSE,"현장품질감사";#N/A,#N/A,FALSE,"현장품질감사"}</definedName>
    <definedName name="광" localSheetId="0" hidden="1">{#N/A,#N/A,FALSE,"현장 NCR 분석";#N/A,#N/A,FALSE,"현장품질감사";#N/A,#N/A,FALSE,"현장품질감사"}</definedName>
    <definedName name="광" hidden="1">{#N/A,#N/A,FALSE,"현장 NCR 분석";#N/A,#N/A,FALSE,"현장품질감사";#N/A,#N/A,FALSE,"현장품질감사"}</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대" hidden="1">{#N/A,#N/A,FALSE,"단면 제원"}</definedName>
    <definedName name="교대공" localSheetId="1" hidden="1">{#N/A,#N/A,FALSE,"단면 제원"}</definedName>
    <definedName name="교대공" hidden="1">{#N/A,#N/A,FALSE,"단면 제원"}</definedName>
    <definedName name="교대공1" hidden="1">{#N/A,#N/A,FALSE,"단면 제원"}</definedName>
    <definedName name="교대공11" hidden="1">{#N/A,#N/A,FALSE,"단면 제원"}</definedName>
    <definedName name="교대공2" hidden="1">{#N/A,#N/A,FALSE,"단면 제원"}</definedName>
    <definedName name="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교대펄근집계" hidden="1">{#N/A,#N/A,FALSE,"배수1"}</definedName>
    <definedName name="교동토" hidden="1">#REF!</definedName>
    <definedName name="교동토목공사" hidden="1">{#N/A,#N/A,FALSE,"이태원철근"}</definedName>
    <definedName name="교량용임시환기시설" hidden="1">{#N/A,#N/A,FALSE,"배수2"}</definedName>
    <definedName name="교정" hidden="1">{#N/A,#N/A,FALSE,"전력간선"}</definedName>
    <definedName name="교좌" hidden="1">{#N/A,#N/A,FALSE,"포장2"}</definedName>
    <definedName name="교통" hidden="1">#REF!</definedName>
    <definedName name="교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구" hidden="1">{#N/A,#N/A,FALSE,"단면 제원"}</definedName>
    <definedName name="구견적" hidden="1">{#N/A,#N/A,FALSE,"단가표지"}</definedName>
    <definedName name="구룡대보2공구" hidden="1">{#N/A,#N/A,FALSE,"부대2"}</definedName>
    <definedName name="구리" hidden="1">{#N/A,#N/A,FALSE,"현장 NCR 분석";#N/A,#N/A,FALSE,"현장품질감사";#N/A,#N/A,FALSE,"현장품질감사"}</definedName>
    <definedName name="구부" hidden="1">{#N/A,#N/A,FALSE,"현장 NCR 분석";#N/A,#N/A,FALSE,"현장품질감사";#N/A,#N/A,FALSE,"현장품질감사"}</definedName>
    <definedName name="구산갑지" hidden="1">#REF!</definedName>
    <definedName name="구성동" hidden="1">{#N/A,#N/A,FALSE,"운반시간"}</definedName>
    <definedName name="구속" hidden="1">{#N/A,#N/A,FALSE,"현장 NCR 분석";#N/A,#N/A,FALSE,"현장품질감사";#N/A,#N/A,FALSE,"현장품질감사"}</definedName>
    <definedName name="구조" localSheetId="0" hidden="1">{#N/A,#N/A,FALSE,"구조2"}</definedName>
    <definedName name="구조" hidden="1">{#N/A,#N/A,FALSE,"구조2"}</definedName>
    <definedName name="구조1" localSheetId="0" hidden="1">{#N/A,#N/A,FALSE,"부대1"}</definedName>
    <definedName name="구조1" localSheetId="1" hidden="1">{#N/A,#N/A,FALSE,"부대1"}</definedName>
    <definedName name="구조1" hidden="1">{#N/A,#N/A,FALSE,"부대1"}</definedName>
    <definedName name="구조견적" localSheetId="0" hidden="1">{#N/A,#N/A,FALSE,"단가표지"}</definedName>
    <definedName name="구조견적" hidden="1">{#N/A,#N/A,FALSE,"단가표지"}</definedName>
    <definedName name="구조물" hidden="1">{#N/A,#N/A,FALSE,"속도"}</definedName>
    <definedName name="구조물2" localSheetId="0" hidden="1">{#N/A,#N/A,FALSE,"배수2"}</definedName>
    <definedName name="구조물2" hidden="1">{#N/A,#N/A,FALSE,"배수2"}</definedName>
    <definedName name="구조물공" hidden="1">{#N/A,#N/A,FALSE,"이정표"}</definedName>
    <definedName name="군포시수련관" hidden="1">{#N/A,#N/A,TRUE,"공조기";#N/A,#N/A,TRUE,"FCU";#N/A,#N/A,TRUE,"1-20";#N/A,#N/A,TRUE,"21-40";#N/A,#N/A,TRUE,"41-60";#N/A,#N/A,TRUE,"61-80";#N/A,#N/A,TRUE,"화장실부하집계";#N/A,#N/A,TRUE,"화장실"}</definedName>
    <definedName name="군포시청소년" hidden="1">{#N/A,#N/A,TRUE,"1. 부하계산";#N/A,#N/A,TRUE,"1-1.부하계산기준";#N/A,#N/A,TRUE,"1-2.부하계산";#N/A,#N/A,TRUE,"2.장비선정";#N/A,#N/A,TRUE,"2-1보일러";#N/A,#N/A,TRUE,"2-2펌프";#N/A,#N/A,TRUE,"2-3탱크";#N/A,#N/A,TRUE,"2-4전기방열기";#N/A,#N/A,TRUE,"2-5전기온수기";#N/A,#N/A,TRUE,"2-6팬"}</definedName>
    <definedName name="군포시청소년수련관"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권" hidden="1">#REF!</definedName>
    <definedName name="규" hidden="1">{#N/A,#N/A,FALSE,"단면 제원"}</definedName>
    <definedName name="귯ㄳ" hidden="1">{#N/A,#N/A,FALSE,"표지목차"}</definedName>
    <definedName name="귯늇ㄳ" hidden="1">{#N/A,#N/A,FALSE,"단가표지"}</definedName>
    <definedName name="그" hidden="1">{#N/A,#N/A,TRUE,"총괄"}</definedName>
    <definedName name="그냥" hidden="1">{#N/A,#N/A,FALSE,"현장 NCR 분석";#N/A,#N/A,FALSE,"현장품질감사";#N/A,#N/A,FALSE,"현장품질감사"}</definedName>
    <definedName name="그린네트" hidden="1">{#N/A,#N/A,FALSE,"현장 NCR 분석";#N/A,#N/A,FALSE,"현장품질감사";#N/A,#N/A,FALSE,"현장품질감사"}</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2" hidden="1">{#N/A,#N/A,FALSE,"단축1";#N/A,#N/A,FALSE,"단축2";#N/A,#N/A,FALSE,"단축3";#N/A,#N/A,FALSE,"장축";#N/A,#N/A,FALSE,"4WD"}</definedName>
    <definedName name="금강타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hidden="1">{#N/A,#N/A,FALSE,"포장2"}</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월" hidden="1">{#N/A,#N/A,TRUE,"Y생산";#N/A,#N/A,TRUE,"Y판매";#N/A,#N/A,TRUE,"Y총물량";#N/A,#N/A,TRUE,"Y능력";#N/A,#N/A,TRUE,"YKD"}</definedName>
    <definedName name="금의교" hidden="1">{#N/A,#N/A,FALSE,"단면 제원"}</definedName>
    <definedName name="금형" hidden="1">{#N/A,#N/A,FALSE,"단축1";#N/A,#N/A,FALSE,"단축2";#N/A,#N/A,FALSE,"단축3";#N/A,#N/A,FALSE,"장축";#N/A,#N/A,FALSE,"4WD"}</definedName>
    <definedName name="금형편성표" hidden="1">{#N/A,#N/A,FALSE,"단축1";#N/A,#N/A,FALSE,"단축2";#N/A,#N/A,FALSE,"단축3";#N/A,#N/A,FALSE,"장축";#N/A,#N/A,FALSE,"4WD"}</definedName>
    <definedName name="기" hidden="1">{#N/A,#N/A,FALSE,"단면 제원"}</definedName>
    <definedName name="기계" hidden="1">{#N/A,#N/A,FALSE,"지침";#N/A,#N/A,FALSE,"환경분석";#N/A,#N/A,FALSE,"Sheet16"}</definedName>
    <definedName name="기계1" hidden="1">{#N/A,#N/A,FALSE,"견적갑지";#N/A,#N/A,FALSE,"총괄표";#N/A,#N/A,FALSE,"철골공사";#N/A,#N/A,FALSE,"토목공사";#N/A,#N/A,FALSE,"판넬전기공사"}</definedName>
    <definedName name="기계2" hidden="1">{#N/A,#N/A,FALSE,"견적갑지";#N/A,#N/A,FALSE,"총괄표";#N/A,#N/A,FALSE,"철골공사";#N/A,#N/A,FALSE,"토목공사";#N/A,#N/A,FALSE,"판넬전기공사"}</definedName>
    <definedName name="기계4" hidden="1">{#N/A,#N/A,FALSE,"견적갑지";#N/A,#N/A,FALSE,"총괄표";#N/A,#N/A,FALSE,"철골공사";#N/A,#N/A,FALSE,"토목공사";#N/A,#N/A,FALSE,"판넬전기공사"}</definedName>
    <definedName name="기계5" hidden="1">{#N/A,#N/A,FALSE,"견적갑지";#N/A,#N/A,FALSE,"총괄표";#N/A,#N/A,FALSE,"철골공사";#N/A,#N/A,FALSE,"토목공사";#N/A,#N/A,FALSE,"판넬전기공사"}</definedName>
    <definedName name="기계실배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기계집계" hidden="1">{#N/A,#N/A,FALSE,"견적갑지";#N/A,#N/A,FALSE,"총괄표";#N/A,#N/A,FALSE,"철골공사";#N/A,#N/A,FALSE,"토목공사";#N/A,#N/A,FALSE,"판넬전기공사"}</definedName>
    <definedName name="기공" hidden="1">#REF!</definedName>
    <definedName name="기관열" hidden="1">{#N/A,#N/A,FALSE,"조골재"}</definedName>
    <definedName name="기기" hidden="1">#REF!</definedName>
    <definedName name="기능실"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기능실2"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기별" hidden="1">{#N/A,#N/A,FALSE,"현장 NCR 분석";#N/A,#N/A,FALSE,"현장품질감사";#N/A,#N/A,FALSE,"현장품질감사"}</definedName>
    <definedName name="기별명세서" hidden="1">{#N/A,#N/A,FALSE,"현장 NCR 분석";#N/A,#N/A,FALSE,"현장품질감사";#N/A,#N/A,FALSE,"현장품질감사"}</definedName>
    <definedName name="기성" hidden="1">{#N/A,#N/A,TRUE,"총괄"}</definedName>
    <definedName name="기성갑지" hidden="1">#REF!</definedName>
    <definedName name="기술" hidden="1">{#N/A,#N/A,FALSE,"부대1"}</definedName>
    <definedName name="기술3" hidden="1">{#N/A,#N/A,TRUE,"손익보고"}</definedName>
    <definedName name="기자재" hidden="1">{"'용역비'!$A$4:$C$8"}</definedName>
    <definedName name="기전작업장"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기전장"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기존담장및옹벽현황" hidden="1">{#N/A,#N/A,FALSE,"2~8번"}</definedName>
    <definedName name="기초.ㄷㄷ" hidden="1">{#N/A,#N/A,FALSE,"현장 NCR 분석";#N/A,#N/A,FALSE,"현장품질감사";#N/A,#N/A,FALSE,"현장품질감사"}</definedName>
    <definedName name="기초검토" hidden="1">{#N/A,#N/A,FALSE,"전력간선"}</definedName>
    <definedName name="기초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기초처리.xls" hidden="1">{#N/A,#N/A,FALSE,"현장 NCR 분석";#N/A,#N/A,FALSE,"현장품질감사";#N/A,#N/A,FALSE,"현장품질감사"}</definedName>
    <definedName name="기초처리2" hidden="1">{#N/A,#N/A,FALSE,"현장 NCR 분석";#N/A,#N/A,FALSE,"현장품질감사";#N/A,#N/A,FALSE,"현장품질감사"}</definedName>
    <definedName name="기타경비" hidden="1">{#N/A,#N/A,TRUE,"토적및재료집계";#N/A,#N/A,TRUE,"토적및재료집계";#N/A,#N/A,TRUE,"단위량"}</definedName>
    <definedName name="기타경비1" hidden="1">{#N/A,#N/A,TRUE,"토적및재료집계";#N/A,#N/A,TRUE,"토적및재료집계";#N/A,#N/A,TRUE,"단위량"}</definedName>
    <definedName name="김" localSheetId="1" hidden="1">#REF!</definedName>
    <definedName name="김" hidden="1">#REF!</definedName>
    <definedName name="김0" hidden="1">{#N/A,#N/A,FALSE,"2~8번"}</definedName>
    <definedName name="김1" localSheetId="0" hidden="1">{"'Firr(선)'!$AS$1:$AY$62","'Firr(사)'!$AS$1:$AY$62","'Firr(회)'!$AS$1:$AY$62","'Firr(선)'!$L$1:$V$62","'Firr(사)'!$L$1:$V$62","'Firr(회)'!$L$1:$V$62"}</definedName>
    <definedName name="김1" hidden="1">{"'Firr(선)'!$AS$1:$AY$62","'Firr(사)'!$AS$1:$AY$62","'Firr(회)'!$AS$1:$AY$62","'Firr(선)'!$L$1:$V$62","'Firr(사)'!$L$1:$V$62","'Firr(회)'!$L$1:$V$62"}</definedName>
    <definedName name="김2" hidden="1">{"'Firr(선)'!$AS$1:$AY$62","'Firr(사)'!$AS$1:$AY$62","'Firr(회)'!$AS$1:$AY$62","'Firr(선)'!$L$1:$V$62","'Firr(사)'!$L$1:$V$62","'Firr(회)'!$L$1:$V$62"}</definedName>
    <definedName name="김5" hidden="1">{#N/A,#N/A,FALSE,"운반시간"}</definedName>
    <definedName name="김관열" hidden="1">{#N/A,#N/A,FALSE,"운반시간"}</definedName>
    <definedName name="김광련" hidden="1">{#N/A,#N/A,FALSE,"혼합골재"}</definedName>
    <definedName name="김도윤" hidden="1">{#N/A,#N/A,TRUE,"Y생산";#N/A,#N/A,TRUE,"Y판매";#N/A,#N/A,TRUE,"Y총물량";#N/A,#N/A,TRUE,"Y능력";#N/A,#N/A,TRUE,"YKD"}</definedName>
    <definedName name="김동" localSheetId="0" hidden="1">{"'Firr(선)'!$AS$1:$AY$62","'Firr(사)'!$AS$1:$AY$62","'Firr(회)'!$AS$1:$AY$62","'Firr(선)'!$L$1:$V$62","'Firr(사)'!$L$1:$V$62","'Firr(회)'!$L$1:$V$62"}</definedName>
    <definedName name="김동" hidden="1">{"'Firr(선)'!$AS$1:$AY$62","'Firr(사)'!$AS$1:$AY$62","'Firr(회)'!$AS$1:$AY$62","'Firr(선)'!$L$1:$V$62","'Firr(사)'!$L$1:$V$62","'Firr(회)'!$L$1:$V$62"}</definedName>
    <definedName name="김동준" localSheetId="0" hidden="1">{"'Firr(선)'!$AS$1:$AY$62","'Firr(사)'!$AS$1:$AY$62","'Firr(회)'!$AS$1:$AY$62","'Firr(선)'!$L$1:$V$62","'Firr(사)'!$L$1:$V$62","'Firr(회)'!$L$1:$V$62"}</definedName>
    <definedName name="김동준" hidden="1">{"'Firr(선)'!$AS$1:$AY$62","'Firr(사)'!$AS$1:$AY$62","'Firr(회)'!$AS$1:$AY$62","'Firr(선)'!$L$1:$V$62","'Firr(사)'!$L$1:$V$62","'Firr(회)'!$L$1:$V$62"}</definedName>
    <definedName name="김상원" hidden="1">{#N/A,#N/A,FALSE,"골재소요량";#N/A,#N/A,FALSE,"골재소요량"}</definedName>
    <definedName name="김영훈" hidden="1">{#N/A,#N/A,FALSE,"변경관리예산";#N/A,#N/A,FALSE,"변경장비예산";#N/A,#N/A,FALSE,"변경준설예산";#N/A,#N/A,FALSE,"변경철구예산"}</definedName>
    <definedName name="김준형" hidden="1">{#N/A,#N/A,FALSE,"골재소요량";#N/A,#N/A,FALSE,"골재소요량"}</definedName>
    <definedName name="깁지" hidden="1">#REF!</definedName>
    <definedName name="ㄳ"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ㄳㄳㄳ" hidden="1">{"대출금상환계획",#N/A,FALSE,"추정IS,CF,무상사용"}</definedName>
    <definedName name="ㄳㄳㄳㄱ" hidden="1">{#N/A,#N/A,FALSE,"민감도"}</definedName>
    <definedName name="ㄳㄳㄳㄳ" hidden="1">{"'용역비'!$A$4:$C$8"}</definedName>
    <definedName name="ㄳㄳㄳㄳㄳㄳㄱ" hidden="1">{"배후단지",#N/A,FALSE,"배후단지 및 부대사업"}</definedName>
    <definedName name="ㄳㄳㅅ셔ㅛㅅ" hidden="1">{#N/A,#N/A,FALSE,"단가표지"}</definedName>
    <definedName name="ㄳㄳㅎㄱㅎㄱㄷ" hidden="1">{#N/A,#N/A,FALSE,"조골재"}</definedName>
    <definedName name="ㄳㄷ" hidden="1">{#N/A,#N/A,FALSE,"표지목차"}</definedName>
    <definedName name="ㄳㅅ" hidden="1">{"공업단지",#N/A,FALSE,"배후단지 및 부대사업"}</definedName>
    <definedName name="ㄳㅍㅁㅁ규" hidden="1">{#N/A,#N/A,FALSE,"표지목차"}</definedName>
    <definedName name="ㄳㅎㅅㅎ" hidden="1">{#N/A,#N/A,FALSE,"전열산출서"}</definedName>
    <definedName name="ㄴㄱㄹ" hidden="1">#REF!</definedName>
    <definedName name="ㄴㄱ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ㄴ" hidden="1">{#N/A,#N/A,FALSE,"지침";#N/A,#N/A,FALSE,"환경분석";#N/A,#N/A,FALSE,"Sheet16"}</definedName>
    <definedName name="ㄴㄴㄴ" hidden="1">{#N/A,#N/A,FALSE,"골재소요량";#N/A,#N/A,FALSE,"골재소요량"}</definedName>
    <definedName name="ㄴㄴㄴㄴ" hidden="1">#REF!</definedName>
    <definedName name="ㄴㄴㄴㄴㄴ" hidden="1">#REF!</definedName>
    <definedName name="ㄴㄴㄴㄴㄴㄴㄴㄴ" hidden="1">{"'Sheet1'!$A$4","'Sheet1'!$A$9:$G$28"}</definedName>
    <definedName name="ㄴㄴㄴㄴㄴㄴㄴㄴㄴㄴ" hidden="1">{"'Sheet1'!$A$4","'Sheet1'!$A$9:$G$28"}</definedName>
    <definedName name="ㄴㄴㄴㄴㄴㄴㄴㄴㄴㄴㄴㄴㄴㄴㄴㄴㄴ" hidden="1">#REF!</definedName>
    <definedName name="ㄴㄴㄹㄴ" hidden="1">#N/A</definedName>
    <definedName name="ㄴㄴㅀㅇㅇㅀ" hidden="1">{#N/A,#N/A,FALSE,"부대1"}</definedName>
    <definedName name="ㄴㄷ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ㄷㅈㅂㄷㄱ" hidden="1">#N/A</definedName>
    <definedName name="ㄴㄹ" localSheetId="0" hidden="1">{#N/A,#N/A,FALSE,"2~8번"}</definedName>
    <definedName name="ㄴㄹ" hidden="1">{#N/A,#N/A,FALSE,"2~8번"}</definedName>
    <definedName name="ㄴㄹㄴ" hidden="1">{#N/A,#N/A,FALSE,"단가표지"}</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ㅇ" hidden="1">{#N/A,#N/A,FALSE,"포장2"}</definedName>
    <definedName name="ㄴㄹㅇㄹㅇ" hidden="1">{#N/A,#N/A,FALSE,"2~8번"}</definedName>
    <definedName name="ㄴㄹㅇㅁㄴㄹ" hidden="1">#REF!</definedName>
    <definedName name="ㄴㄻㄴ" hidden="1">#N/A</definedName>
    <definedName name="ㄴㄻㄴㅇ" hidden="1">{#N/A,#N/A,FALSE,"조골재"}</definedName>
    <definedName name="ㄴㅁ" hidden="1">#REF!</definedName>
    <definedName name="ㄴㅁㄴㅇㄹ" hidden="1">#REF!</definedName>
    <definedName name="ㄴㅁㄴ어림ㄴㅇㄹ" hidden="1">{#N/A,#N/A,FALSE,"단가표지"}</definedName>
    <definedName name="ㄴㅁㄹㄴㅁㅇㄴㅇㅁㄹㄴ" hidden="1">{#N/A,#N/A,FALSE,"단가표지"}</definedName>
    <definedName name="ㄴㅁㄹㅇㄹ" hidden="1">#REF!</definedName>
    <definedName name="ㄴㅁㄹㅈㄹ" hidden="1">#REF!</definedName>
    <definedName name="ㄴㅁㄻㄴㄹ" hidden="1">#N/A</definedName>
    <definedName name="ㄴㅁㅁㄴㅇㅁ" hidden="1">{#N/A,#N/A,FALSE,"2~8번"}</definedName>
    <definedName name="ㄴㅁㅁㅁㅁㅁㅁㅁㅁㅇㅇㅇㅇㅇ" hidden="1">{#N/A,#N/A,FALSE,"2~8번"}</definedName>
    <definedName name="ㄴㅁㅇㄴㅁㅇ" hidden="1">{#N/A,#N/A,FALSE,"배수1"}</definedName>
    <definedName name="ㄴㅁㅇㄹㅇㅁㅇㄴㄻㄴㅇㄹ" hidden="1">{#N/A,#N/A,FALSE,"2~8번"}</definedName>
    <definedName name="ㄴㅁㅇㄻㄴㅇㄻ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ㅇㄻㄴㅇㄻㄴㅇㄹ" hidden="1">{#N/A,#N/A,FALSE,"조골재"}</definedName>
    <definedName name="ㄴㅁㅇㅁㄴㄴㄴㄴㄴㄴㄴ" hidden="1">{#N/A,#N/A,FALSE,"2~8번"}</definedName>
    <definedName name="ㄴㅁㅎㅇㅁㅎ" hidden="1">#N/A</definedName>
    <definedName name="ㄴㅅ거" hidden="1">{"'중기작업1'!$A$1:$V$18"}</definedName>
    <definedName name="ㄴㅅㅎㅇㅎㄹㅇ" hidden="1">{#N/A,#N/A,FALSE,"배수2"}</definedName>
    <definedName name="ㄴㅇ" localSheetId="0" hidden="1">{#N/A,#N/A,FALSE,"골재소요량";#N/A,#N/A,FALSE,"골재소요량"}</definedName>
    <definedName name="ㄴㅇ" hidden="1">{#N/A,#N/A,FALSE,"현장 NCR 분석";#N/A,#N/A,FALSE,"현장품질감사";#N/A,#N/A,FALSE,"현장품질감사"}</definedName>
    <definedName name="ㄴㅇ12121" hidden="1">{#N/A,#N/A,FALSE,"배당분석"}</definedName>
    <definedName name="ㄴㅇㄴ" hidden="1">{#N/A,#N/A,FALSE,"단축1";#N/A,#N/A,FALSE,"단축2";#N/A,#N/A,FALSE,"단축3";#N/A,#N/A,FALSE,"장축";#N/A,#N/A,FALSE,"4WD"}</definedName>
    <definedName name="ㄴㅇㄴㅇㄴㅇㄴ" hidden="1">{#N/A,#N/A,FALSE,"골재소요량";#N/A,#N/A,FALSE,"골재소요량"}</definedName>
    <definedName name="ㄴㅇㄴㅇㅌㅊㅌㅊ" hidden="1">{"1단계 투자비명세",#N/A,FALSE,"투자비명세";"2단계 투자비명세",#N/A,FALSE,"투자비명세"}</definedName>
    <definedName name="ㄴㅇㄴㅊㅊ" hidden="1">{"운영수익1",#N/A,FALSE,"운영수익";"운영수익2",#N/A,FALSE,"운영수익";"운영수익3",#N/A,FALSE,"운영수익"}</definedName>
    <definedName name="ㄴㅇ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ㅇㄹ" localSheetId="1" hidden="1">{#N/A,#N/A,FALSE,"단면 제원"}</definedName>
    <definedName name="ㄴㅇㄹ" hidden="1">{#N/A,#N/A,FALSE,"단면 제원"}</definedName>
    <definedName name="ㄴㅇㄹㄴㅇㅎ" hidden="1">{#N/A,#N/A,FALSE,"부대2"}</definedName>
    <definedName name="ㄴㅇㄹㄴ혼ㅇㅎ" hidden="1">{#N/A,#N/A,FALSE,"부대1"}</definedName>
    <definedName name="ㄴㅇㄹㄷ" hidden="1">#REF!</definedName>
    <definedName name="ㄴㅇ로ㅠㅎ" hidden="1">{#N/A,#N/A,FALSE,"구조2"}</definedName>
    <definedName name="ㄴㅇㄻ" hidden="1">#REF!</definedName>
    <definedName name="ㄴㅇㄻㅍㅍㅋㄻㅁㅎㄴㅇㅎㄴㅇㅎ" hidden="1">{"부대사업공정율",#N/A,FALSE,"배후단지 및 부대사업"}</definedName>
    <definedName name="ㄴㅇㄼㅈㄷㄹ" localSheetId="0" hidden="1">#REF!</definedName>
    <definedName name="ㄴㅇㄼㅈㄷㄹ" hidden="1">#REF!</definedName>
    <definedName name="ㄴㅇㅀ" hidden="1">{#N/A,#N/A,FALSE,"토공2"}</definedName>
    <definedName name="ㄴㅇㅁㄴ" hidden="1">{#N/A,#N/A,FALSE,"현장 NCR 분석";#N/A,#N/A,FALSE,"현장품질감사";#N/A,#N/A,FALSE,"현장품질감사"}</definedName>
    <definedName name="ㄴㅇㅁㄴㅇ" hidden="1">{#N/A,#N/A,TRUE,"토적및재료집계";#N/A,#N/A,TRUE,"토적및재료집계";#N/A,#N/A,TRUE,"단위량"}</definedName>
    <definedName name="ㄴㅇㅁㄹㅇㅁㅇㄹ" hidden="1">#N/A</definedName>
    <definedName name="ㄴㅇㅁㅎ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ㅇㅇ" hidden="1">#REF!</definedName>
    <definedName name="ㄴㅇㅇㅇ" hidden="1">#REF!</definedName>
    <definedName name="ㄴㅇㅌㅊ" hidden="1">{"장비보유",#N/A,FALSE,"장비소요"}</definedName>
    <definedName name="ㄴㅇㅍㅁㄴㅇㄹ" localSheetId="0" hidden="1">#REF!</definedName>
    <definedName name="ㄴㅇㅍㅁㄴㅇㄹ" hidden="1">#REF!</definedName>
    <definedName name="ㄴㅇㅎㄷㅈㄳㄷ" hidden="1">#N/A</definedName>
    <definedName name="ㄴ윤"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흂" hidden="1">{#N/A,#N/A,FALSE,"단가표지"}</definedName>
    <definedName name="나그네" hidden="1">{#N/A,#N/A,FALSE,"구조2"}</definedName>
    <definedName name="나나" hidden="1">{#N/A,#N/A,FALSE,"2~8번"}</definedName>
    <definedName name="나나나" hidden="1">{#N/A,#N/A,FALSE,"속도"}</definedName>
    <definedName name="나나나나" hidden="1">{"'Sheet1'!$A$4","'Sheet1'!$A$9:$G$28"}</definedName>
    <definedName name="나나나나나" hidden="1">{#N/A,#N/A,FALSE,"2~8번"}</definedName>
    <definedName name="나나나나나나나나" hidden="1">{#N/A,#N/A,FALSE,"혼합골재"}</definedName>
    <definedName name="나나나나나나나나난" hidden="1">{#N/A,#N/A,FALSE,"표지목차"}</definedName>
    <definedName name="나나아" hidden="1">{#N/A,#N/A,FALSE,"2~8번"}</definedName>
    <definedName name="나랑"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나우누리" hidden="1">{"'Sheet1'!$A$4","'Sheet1'!$A$9:$G$28"}</definedName>
    <definedName name="나이" hidden="1">{#N/A,#N/A,FALSE,"현장 NCR 분석";#N/A,#N/A,FALSE,"현장품질감사";#N/A,#N/A,FALSE,"현장품질감사"}</definedName>
    <definedName name="나이로" hidden="1">{#N/A,#N/A,FALSE,"속도"}</definedName>
    <definedName name="낙차공" localSheetId="0" hidden="1">{#N/A,#N/A,FALSE,"2~8번"}</definedName>
    <definedName name="낙차공" hidden="1">{#N/A,#N/A,FALSE,"2~8번"}</definedName>
    <definedName name="낙찰내역" hidden="1">{"'단계별시설공사비'!$A$3:$K$51"}</definedName>
    <definedName name="난" hidden="1">{#N/A,#N/A,FALSE,"현장 NCR 분석";#N/A,#N/A,FALSE,"현장품질감사";#N/A,#N/A,FALSE,"현장품질감사"}</definedName>
    <definedName name="난나나" hidden="1">{"'Sheet1'!$A$4","'Sheet1'!$A$9:$G$28"}</definedName>
    <definedName name="난반공사" hidden="1">{#N/A,#N/A,FALSE,"현장 NCR 분석";#N/A,#N/A,FALSE,"현장품질감사";#N/A,#N/A,FALSE,"현장품질감사"}</definedName>
    <definedName name="날개170" hidden="1">#REF!</definedName>
    <definedName name="남남" hidden="1">#REF!</definedName>
    <definedName name="남서울문화체육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남안산내역서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남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남춘천증설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내갑" hidden="1">{#N/A,#N/A,FALSE,"전력간선"}</definedName>
    <definedName name="내부거래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부굴착2" hidden="1">{#N/A,#N/A,FALSE,"단면 제원"}</definedName>
    <definedName name="내역" hidden="1">#REF!</definedName>
    <definedName name="내역갑지" hidden="1">{#N/A,#N/A,FALSE,"전력간선"}</definedName>
    <definedName name="내역노무"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역노무"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역서" hidden="1">{#N/A,#N/A,FALSE,"현장 NCR 분석";#N/A,#N/A,FALSE,"현장품질감사";#N/A,#N/A,FALSE,"현장품질감사"}</definedName>
    <definedName name="내역서2" hidden="1">{#N/A,#N/A,FALSE,"전열산출서"}</definedName>
    <definedName name="내역서갑지" localSheetId="0" hidden="1">{#N/A,#N/A,FALSE,"전력간선"}</definedName>
    <definedName name="내역서갑지" hidden="1">{#N/A,#N/A,FALSE,"전력간선"}</definedName>
    <definedName name="내역서갑지1" localSheetId="0" hidden="1">{#N/A,#N/A,FALSE,"전력간선"}</definedName>
    <definedName name="내역서갑지1" hidden="1">{#N/A,#N/A,FALSE,"전력간선"}</definedName>
    <definedName name="내역서갑지2" localSheetId="0" hidden="1">{#N/A,#N/A,FALSE,"전력간선"}</definedName>
    <definedName name="내역서갑지2" hidden="1">{#N/A,#N/A,FALSE,"전력간선"}</definedName>
    <definedName name="내역서갑지3" localSheetId="0" hidden="1">{#N/A,#N/A,FALSE,"전력간선"}</definedName>
    <definedName name="내역서갑지3" hidden="1">{#N/A,#N/A,FALSE,"전력간선"}</definedName>
    <definedName name="내역서갑지4" localSheetId="0" hidden="1">{#N/A,#N/A,FALSE,"전력간선"}</definedName>
    <definedName name="내역서갑지4" hidden="1">{#N/A,#N/A,FALSE,"전력간선"}</definedName>
    <definedName name="내역서갑지5" localSheetId="0" hidden="1">{#N/A,#N/A,FALSE,"전력간선"}</definedName>
    <definedName name="내역서갑지5" hidden="1">{#N/A,#N/A,FALSE,"전력간선"}</definedName>
    <definedName name="내역서갑지6" localSheetId="0" hidden="1">{#N/A,#N/A,FALSE,"전력간선"}</definedName>
    <definedName name="내역서갑지6" hidden="1">{#N/A,#N/A,FALSE,"전력간선"}</definedName>
    <definedName name="내역서갑지7" localSheetId="0" hidden="1">{#N/A,#N/A,FALSE,"전력간선"}</definedName>
    <definedName name="내역서갑지7" hidden="1">{#N/A,#N/A,FALSE,"전력간선"}</definedName>
    <definedName name="내역서갑지8" localSheetId="0" hidden="1">{#N/A,#N/A,FALSE,"전력간선"}</definedName>
    <definedName name="내역서갑지8" hidden="1">{#N/A,#N/A,FALSE,"전력간선"}</definedName>
    <definedName name="내역서갑지9" localSheetId="0" hidden="1">{#N/A,#N/A,FALSE,"전력간선"}</definedName>
    <definedName name="내역서갑지9" hidden="1">{#N/A,#N/A,FALSE,"전력간선"}</definedName>
    <definedName name="내역서다" hidden="1">{#N/A,#N/A,TRUE,"총괄"}</definedName>
    <definedName name="냉전" hidden="1">{#N/A,#N/A,FALSE,"Sheet1"}</definedName>
    <definedName name="냐" hidden="1">{#N/A,#N/A,FALSE,"혼합골재"}</definedName>
    <definedName name="너" hidden="1">{#N/A,#N/A,FALSE,"단면 제원"}</definedName>
    <definedName name="너그네" hidden="1">{#N/A,#N/A,FALSE,"구조2"}</definedName>
    <definedName name="넣러" hidden="1">{#N/A,#N/A,FALSE,"표지목차"}</definedName>
    <definedName name="네" hidden="1">{#N/A,#N/A,FALSE,"배수1"}</definedName>
    <definedName name="노무비내역"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무비내역"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무비단가산출서" hidden="1">#REF!</definedName>
    <definedName name="노상훈" hidden="1">{#N/A,#N/A,TRUE,"총괄"}</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녹색" hidden="1">{#N/A,#N/A,FALSE,"현장 NCR 분석";#N/A,#N/A,FALSE,"현장품질감사";#N/A,#N/A,FALSE,"현장품질감사"}</definedName>
    <definedName name="논산" hidden="1">{#N/A,#N/A,FALSE,"2~8번"}</definedName>
    <definedName name="놀ㄴㄶㅎ" hidden="1">#REF!</definedName>
    <definedName name="놓ㄹ노" hidden="1">{#N/A,#N/A,FALSE,"골재소요량";#N/A,#N/A,FALSE,"골재소요량"}</definedName>
    <definedName name="뉵ㅎㅅㄳㅁ" hidden="1">{#N/A,#N/A,FALSE,"혼합골재"}</definedName>
    <definedName name="느" hidden="1">{#N/A,#N/A,FALSE,"이정표"}</definedName>
    <definedName name="니" hidden="1">{#N/A,#N/A,FALSE,"단면 제원"}</definedName>
    <definedName name="닝잉" hidden="1">{#N/A,#N/A,TRUE,"Y생산";#N/A,#N/A,TRUE,"Y판매";#N/A,#N/A,TRUE,"Y총물량";#N/A,#N/A,TRUE,"Y능력";#N/A,#N/A,TRUE,"YKD"}</definedName>
    <definedName name="ㄵㄷ" hidden="1">{#N/A,#N/A,FALSE,"혼합골재"}</definedName>
    <definedName name="ㄶㄶㄶㄱㅎㄴㄹ" hidden="1">{"1단계공사비",#N/A,FALSE,"공사비";"2단계공사비",#N/A,FALSE,"공사비"}</definedName>
    <definedName name="ㄶㄹ" hidden="1">#N/A</definedName>
    <definedName name="ㄶ뫃ㄴㅁㄹㄴㅁㄹㄴㅇ" hidden="1">{#N/A,#N/A,FALSE,"부대2"}</definedName>
    <definedName name="ㄶㅇㅀ" hidden="1">#N/A</definedName>
    <definedName name="ㄶㅇㅀㄴㅇ" hidden="1">{#N/A,#N/A,FALSE,"표지목차"}</definedName>
    <definedName name="ㄷ" hidden="1">{#N/A,#N/A,FALSE,"현장 NCR 분석";#N/A,#N/A,FALSE,"현장품질감사";#N/A,#N/A,FALSE,"현장품질감사"}</definedName>
    <definedName name="ㄷㄱ" hidden="1">{#N/A,#N/A,FALSE,"부대2"}</definedName>
    <definedName name="ㄷㄱㄱㅈㅍㄷ" hidden="1">{#N/A,#N/A,FALSE,"골재소요량";#N/A,#N/A,FALSE,"골재소요량"}</definedName>
    <definedName name="ㄷㄱㄴㄴㅁ" hidden="1">{#N/A,#N/A,FALSE,"단가표지"}</definedName>
    <definedName name="ㄷㄱㄷㄱㄱ" hidden="1">#REF!</definedName>
    <definedName name="ㄷㄱㅂㅈㄱ" hidden="1">{#N/A,#N/A,FALSE,"포장1";#N/A,#N/A,FALSE,"포장1"}</definedName>
    <definedName name="ㄷㄱㅈㄱ" hidden="1">#REF!</definedName>
    <definedName name="ㄷㄱㅈㄱㄷ" hidden="1">{#N/A,#N/A,FALSE,"골재소요량";#N/A,#N/A,FALSE,"골재소요량"}</definedName>
    <definedName name="ㄷㄱㅈㄱㅂㅈㄷ" hidden="1">#N/A</definedName>
    <definedName name="ㄷㄱㅈㄷ" hidden="1">{#N/A,#N/A,FALSE,"조골재"}</definedName>
    <definedName name="ㄷㄱㅈㅍ" hidden="1">{#N/A,#N/A,FALSE,"표지목차"}</definedName>
    <definedName name="ㄷㄱㅍㄷㄱ뮤" hidden="1">{#N/A,#N/A,FALSE,"2~8번"}</definedName>
    <definedName name="ㄷㄱㅍㅁㄷㄱ" hidden="1">{#N/A,#N/A,FALSE,"골재소요량";#N/A,#N/A,FALSE,"골재소요량"}</definedName>
    <definedName name="ㄷㄳ" hidden="1">#REF!</definedName>
    <definedName name="ㄷㄳㄱ" hidden="1">#REF!</definedName>
    <definedName name="ㄷㄳㄷ" hidden="1">#N/A</definedName>
    <definedName name="ㄷㄳㅅㄷㄱ" hidden="1">{#N/A,#N/A,FALSE,"2~8번"}</definedName>
    <definedName name="ㄷㄳㅅㅅ" hidden="1">#REF!</definedName>
    <definedName name="ㄷㄴ" hidden="1">{#N/A,#N/A,FALSE,"조골재"}</definedName>
    <definedName name="ㄷㄴㅁㄱㅇ" hidden="1">{#N/A,#N/A,FALSE,"골재소요량";#N/A,#N/A,FALSE,"골재소요량"}</definedName>
    <definedName name="ㄷㄴㅊ투ㅠ" hidden="1">{#N/A,#N/A,FALSE,"96 3월물량표";#N/A,#N/A,FALSE,"96 4월물량표";#N/A,#N/A,FALSE,"96 5월물량표"}</definedName>
    <definedName name="ㄷㄷ" hidden="1">#REF!</definedName>
    <definedName name="ㄷㄷㄷ" hidden="1">#REF!</definedName>
    <definedName name="ㄷㄷㄷㄷㄷㄷ" hidden="1">{#N/A,#N/A,FALSE,"운반시간"}</definedName>
    <definedName name="ㄷㄷㄷㄷㄷㄷㄷ" hidden="1">{#N/A,#N/A,FALSE,"부대1"}</definedName>
    <definedName name="ㄷㄷㄷㄷㄷㄷㄷㄷㄷ" hidden="1">{#N/A,#N/A,FALSE,"2~8번"}</definedName>
    <definedName name="ㄷㄷㄷ댜ㅑㅑㅐㅐㅐㅐㅐㅐ" hidden="1">{#N/A,#N/A,FALSE,"부대2"}</definedName>
    <definedName name="ㄷㄷㄹㅇㅇㄹ" hidden="1">{#N/A,#N/A,FALSE,"구조2"}</definedName>
    <definedName name="ㄷㄷㅈㅊㅍㅌㅋ" hidden="1">{#N/A,#N/A,FALSE,"조골재"}</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ㄷㄱㄱㄹ" hidden="1">{#N/A,#N/A,FALSE,"배수1"}</definedName>
    <definedName name="ㄷㅇ" hidden="1">{#N/A,#N/A,TRUE,"Y생산";#N/A,#N/A,TRUE,"Y판매";#N/A,#N/A,TRUE,"Y총물량";#N/A,#N/A,TRUE,"Y능력";#N/A,#N/A,TRUE,"YKD"}</definedName>
    <definedName name="ㄷㅇㄴ" hidden="1">{#N/A,#N/A,FALSE,"현장 NCR 분석";#N/A,#N/A,FALSE,"현장품질감사";#N/A,#N/A,FALSE,"현장품질감사"}</definedName>
    <definedName name="ㄷㅇㄷㄷ" hidden="1">{#N/A,#N/A,FALSE,"포장1";#N/A,#N/A,FALSE,"포장1"}</definedName>
    <definedName name="ㄷㅇㄷㅇㄷ" hidden="1">#REF!</definedName>
    <definedName name="ㄷㅇㄹ" hidden="1">{#N/A,#N/A,FALSE,"단가표지"}</definedName>
    <definedName name="ㄷㅇㅊㅇ" hidden="1">{"장비보유1",#N/A,FALSE,"장비보유현황";"장비보유2",#N/A,FALSE,"장비보유현황"}</definedName>
    <definedName name="ㄷㅈㄱㄱ" hidden="1">{#N/A,#N/A,FALSE,"조골재"}</definedName>
    <definedName name="ㄷㅈㄱㄷㅈ" hidden="1">{#N/A,#N/A,FALSE,"혼합골재"}</definedName>
    <definedName name="ㄷㅈㄱㅇㄹㅊㅍㅊ" hidden="1">{#N/A,#N/A,FALSE,"단가표지"}</definedName>
    <definedName name="ㄷㅈㄱㅈ" hidden="1">#REF!</definedName>
    <definedName name="ㄷㅈㄱㅈㄷㄱ" hidden="1">#REF!</definedName>
    <definedName name="ㄷㅈㄹㄹㄷㄹㅇㄴㅇㄴㄹ" hidden="1">{#N/A,#N/A,FALSE,"조골재"}</definedName>
    <definedName name="ㄷㅈㅂㄱㄷㅈ" hidden="1">#REF!</definedName>
    <definedName name="ㄷㅈㅂㄱㅈㅂㄷㄱ" hidden="1">{#N/A,#N/A,FALSE,"골재소요량";#N/A,#N/A,FALSE,"골재소요량"}</definedName>
    <definedName name="ㄷㅈㅅ" hidden="1">#REF!</definedName>
    <definedName name="ㄷㅈㅈㄱㄷㄱㄷㅈ" hidden="1">{#N/A,#N/A,FALSE,"운반시간"}</definedName>
    <definedName name="ㄷㅈㅍㄱㄷㅈㄱ" hidden="1">{#N/A,#N/A,FALSE,"2~8번"}</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ㄹㅇ" hidden="1">#REF!</definedName>
    <definedName name="다" hidden="1">{#N/A,#N/A,FALSE,"표지목차"}</definedName>
    <definedName name="다라" localSheetId="0" hidden="1">{#N/A,#N/A,FALSE,"표지목차"}</definedName>
    <definedName name="다라" hidden="1">{#N/A,#N/A,FALSE,"표지목차"}</definedName>
    <definedName name="다시" hidden="1">{#N/A,#N/A,FALSE,"전력간선"}</definedName>
    <definedName name="다음공사" hidden="1">{#N/A,#N/A,FALSE,"전력간선"}</definedName>
    <definedName name="다음이라고합니다" hidden="1">{#N/A,#N/A,FALSE,"전력간선"}</definedName>
    <definedName name="단.산" hidden="1">{#N/A,#N/A,FALSE,"현장 NCR 분석";#N/A,#N/A,FALSE,"현장품질감사";#N/A,#N/A,FALSE,"현장품질감사"}</definedName>
    <definedName name="단ㄱ" hidden="1">{#N/A,#N/A,FALSE,"전력간선"}</definedName>
    <definedName name="단가" hidden="1">{#N/A,#N/A,FALSE,"기안지";#N/A,#N/A,FALSE,"통신지"}</definedName>
    <definedName name="단가110" hidden="1">{#N/A,#N/A,FALSE,"Sheet1"}</definedName>
    <definedName name="단가기준" hidden="1">{#N/A,#N/A,TRUE,"Y생산";#N/A,#N/A,TRUE,"Y판매";#N/A,#N/A,TRUE,"Y총물량";#N/A,#N/A,TRUE,"Y능력";#N/A,#N/A,TRUE,"YKD"}</definedName>
    <definedName name="단가대비" hidden="1">#REF!</definedName>
    <definedName name="단가비교" hidden="1">#REF!</definedName>
    <definedName name="단가산" hidden="1">{#N/A,#N/A,FALSE,"기안지";#N/A,#N/A,FALSE,"통신지"}</definedName>
    <definedName name="단가산출근거" hidden="1">#REF!</definedName>
    <definedName name="단가산출서3" hidden="1">{#N/A,#N/A,FALSE,"기안지";#N/A,#N/A,FALSE,"통신지"}</definedName>
    <definedName name="단가조견표" hidden="1">#REF!</definedName>
    <definedName name="단가조사자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확정분내역" hidden="1">#REF!</definedName>
    <definedName name="단가확정분집계표" hidden="1">#REF!</definedName>
    <definedName name="단기" hidden="1">{#N/A,#N/A,TRUE,"Y생산";#N/A,#N/A,TRUE,"Y판매";#N/A,#N/A,TRUE,"Y총물량";#N/A,#N/A,TRUE,"Y능력";#N/A,#N/A,TRUE,"YKD"}</definedName>
    <definedName name="단기대여금" hidden="1">{#N/A,#N/A,TRUE,"Y생산";#N/A,#N/A,TRUE,"Y판매";#N/A,#N/A,TRUE,"Y총물량";#N/A,#N/A,TRUE,"Y능력";#N/A,#N/A,TRUE,"YKD"}</definedName>
    <definedName name="단량1" hidden="1">{"'산출근거'!$B$4:$D$8"}</definedName>
    <definedName name="단면특성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위수량1" hidden="1">{"'산출근거'!$B$4:$D$8"}</definedName>
    <definedName name="단위수량2" hidden="1">{"'산출근거'!$B$4:$D$8"}</definedName>
    <definedName name="단위조장"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단인상" hidden="1">#REF!</definedName>
    <definedName name="단조편성표" hidden="1">{#N/A,#N/A,FALSE,"단축1";#N/A,#N/A,FALSE,"단축2";#N/A,#N/A,FALSE,"단축3";#N/A,#N/A,FALSE,"장축";#N/A,#N/A,FALSE,"4WD"}</definedName>
    <definedName name="당진군예술회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당초" hidden="1">{#N/A,#N/A,FALSE,"Sheet1"}</definedName>
    <definedName name="당초변경" hidden="1">{#N/A,#N/A,FALSE,"Sheet1"}</definedName>
    <definedName name="대가목록" hidden="1">#REF!</definedName>
    <definedName name="대강당배관" hidden="1">#REF!</definedName>
    <definedName name="대교건설"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대교건설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리석포장" hidden="1">{#N/A,#N/A,TRUE,"총괄"}</definedName>
    <definedName name="대림공영" hidden="1">{#N/A,#N/A,FALSE,"조골재"}</definedName>
    <definedName name="대림바토스" hidden="1">{#N/A,#N/A,FALSE,"조골재"}</definedName>
    <definedName name="대림바토스내역" hidden="1">{#N/A,#N/A,FALSE,"조골재"}</definedName>
    <definedName name="대림바토스집계" hidden="1">{#N/A,#N/A,FALSE,"조골재"}</definedName>
    <definedName name="대방총괄" hidden="1">{#N/A,#N/A,FALSE,"단축1";#N/A,#N/A,FALSE,"단축2";#N/A,#N/A,FALSE,"단축3";#N/A,#N/A,FALSE,"장축";#N/A,#N/A,FALSE,"4WD"}</definedName>
    <definedName name="대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운반거리" hidden="1">#REF!</definedName>
    <definedName name="대치동" hidden="1">{#N/A,#N/A,FALSE,"CCTV"}</definedName>
    <definedName name="대치동아" hidden="1">{#N/A,#N/A,FALSE,"CCTV"}</definedName>
    <definedName name="대치동아파트가설" hidden="1">{#N/A,#N/A,FALSE,"CCTV"}</definedName>
    <definedName name="대표모임" hidden="1">{#N/A,#N/A,FALSE,"현장 NCR 분석";#N/A,#N/A,FALSE,"현장품질감사";#N/A,#N/A,FALSE,"현장품질감사"}</definedName>
    <definedName name="대표회의" hidden="1">{#N/A,#N/A,FALSE,"현장 NCR 분석";#N/A,#N/A,FALSE,"현장품질감사";#N/A,#N/A,FALSE,"현장품질감사"}</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덕" hidden="1">{#N/A,#N/A,FALSE,"지침";#N/A,#N/A,FALSE,"환경분석";#N/A,#N/A,FALSE,"Sheet16"}</definedName>
    <definedName name="덕고개" hidden="1">{#N/A,#N/A,FALSE,"현장 NCR 분석";#N/A,#N/A,FALSE,"현장품질감사";#N/A,#N/A,FALSE,"현장품질감사"}</definedName>
    <definedName name="덕고개2" hidden="1">{#N/A,#N/A,FALSE,"현장 NCR 분석";#N/A,#N/A,FALSE,"현장품질감사";#N/A,#N/A,FALSE,"현장품질감사"}</definedName>
    <definedName name="덕호" hidden="1">{#N/A,#N/A,FALSE,"포장2"}</definedName>
    <definedName name="도급" localSheetId="0" hidden="1">{#N/A,#N/A,FALSE,"구조2"}</definedName>
    <definedName name="도급" hidden="1">{#N/A,#N/A,FALSE,"단가표지"}</definedName>
    <definedName name="도돋" hidden="1">{#N/A,#N/A,FALSE,"양식(을)"}</definedName>
    <definedName name="도로제거" hidden="1">{#N/A,#N/A,FALSE,"단가표지"}</definedName>
    <definedName name="도로표지병제거" hidden="1">{#N/A,#N/A,FALSE,"2~8번"}</definedName>
    <definedName name="도면1" hidden="1">{"'Firr(선)'!$AS$1:$AY$62","'Firr(사)'!$AS$1:$AY$62","'Firr(회)'!$AS$1:$AY$62","'Firr(선)'!$L$1:$V$62","'Firr(사)'!$L$1:$V$62","'Firr(회)'!$L$1:$V$62"}</definedName>
    <definedName name="도면2" hidden="1">{"'Firr(선)'!$AS$1:$AY$62","'Firr(사)'!$AS$1:$AY$62","'Firr(회)'!$AS$1:$AY$62","'Firr(선)'!$L$1:$V$62","'Firr(사)'!$L$1:$V$62","'Firr(회)'!$L$1:$V$62"}</definedName>
    <definedName name="도면상태" hidden="1">{"'Firr(선)'!$AS$1:$AY$62","'Firr(사)'!$AS$1:$AY$62","'Firr(회)'!$AS$1:$AY$62","'Firr(선)'!$L$1:$V$62","'Firr(사)'!$L$1:$V$62","'Firr(회)'!$L$1:$V$62"}</definedName>
    <definedName name="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시철골" hidden="1">{#N/A,#N/A,FALSE,"현장 NCR 분석";#N/A,#N/A,FALSE,"현장품질감사";#N/A,#N/A,FALSE,"현장품질감사"}</definedName>
    <definedName name="도연수" hidden="1">{#N/A,#N/A,FALSE,"2~8번"}</definedName>
    <definedName name="도장손료노무비" hidden="1">{#N/A,#N/A,FALSE,"현장 NCR 분석";#N/A,#N/A,FALSE,"현장품질감사";#N/A,#N/A,FALSE,"현장품질감사"}</definedName>
    <definedName name="도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독립기초" localSheetId="0" hidden="1">{#N/A,#N/A,FALSE,"기안지";#N/A,#N/A,FALSE,"통신지"}</definedName>
    <definedName name="독립기초" hidden="1">{#N/A,#N/A,FALSE,"기안지";#N/A,#N/A,FALSE,"통신지"}</definedName>
    <definedName name="독립기초토공수량산출" localSheetId="0" hidden="1">{#N/A,#N/A,FALSE,"기안지";#N/A,#N/A,FALSE,"통신지"}</definedName>
    <definedName name="독립기초토공수량산출" hidden="1">{#N/A,#N/A,FALSE,"기안지";#N/A,#N/A,FALSE,"통신지"}</definedName>
    <definedName name="독산공장"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독산공장2" hidden="1">{#N/A,#N/A,TRUE,"1. 부하계산";#N/A,#N/A,TRUE,"1-1.부하계산기준";#N/A,#N/A,TRUE,"1-2.부하계산";#N/A,#N/A,TRUE,"2.장비선정";#N/A,#N/A,TRUE,"2-1보일러";#N/A,#N/A,TRUE,"2-2펌프";#N/A,#N/A,TRUE,"2-3탱크";#N/A,#N/A,TRUE,"2-4전기방열기";#N/A,#N/A,TRUE,"2-5전기온수기";#N/A,#N/A,TRUE,"2-6팬"}</definedName>
    <definedName name="독산공장3" hidden="1">{#N/A,#N/A,TRUE,"공조기";#N/A,#N/A,TRUE,"FCU";#N/A,#N/A,TRUE,"1-20";#N/A,#N/A,TRUE,"21-40";#N/A,#N/A,TRUE,"41-60";#N/A,#N/A,TRUE,"61-80";#N/A,#N/A,TRUE,"화장실부하집계";#N/A,#N/A,TRUE,"화장실"}</definedName>
    <definedName name="독산공장4" hidden="1">{#N/A,#N/A,TRUE,"1.부하계산기준";#N/A,#N/A,TRUE,"2.부하계산방법"}</definedName>
    <definedName name="독산공장5" hidden="1">{#N/A,#N/A,TRUE,"1. 부하계산";#N/A,#N/A,TRUE,"1-1.부하계산기준";#N/A,#N/A,TRUE,"1-2.부하계산방법";#N/A,#N/A,TRUE,"1-3.부하집계";#N/A,#N/A,TRUE,"1-4.부하계산"}</definedName>
    <definedName name="독산공장6" hidden="1">{#N/A,#N/A,TRUE,"부하계산서표지";#N/A,#N/A,TRUE,"1. 부하계산";#N/A,#N/A,TRUE,"1-1.부하계산기준";#N/A,#N/A,TRUE,"1-2.부하계산";#N/A,#N/A,TRUE,"1-3부하집계"}</definedName>
    <definedName name="독산공장7" hidden="1">{#N/A,#N/A,FALSE,"화장실부하집계";#N/A,#N/A,FALSE,"화장실"}</definedName>
    <definedName name="독수리" hidden="1">#REF!</definedName>
    <definedName name="돌타운" hidden="1">{#N/A,#N/A,FALSE,"현장 NCR 분석";#N/A,#N/A,FALSE,"현장품질감사";#N/A,#N/A,FALSE,"현장품질감사"}</definedName>
    <definedName name="동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건설" hidden="1">{#N/A,#N/A,FALSE,"골재소요량";#N/A,#N/A,FALSE,"골재소요량"}</definedName>
    <definedName name="동구연숩" localSheetId="0" hidden="1">{#N/A,#N/A,FALSE,"전력간선"}</definedName>
    <definedName name="동구연숩" hidden="1">{#N/A,#N/A,FALSE,"전력간선"}</definedName>
    <definedName name="동림010" hidden="1">{#N/A,#N/A,FALSE,"현장 NCR 분석";#N/A,#N/A,FALSE,"현장품질감사";#N/A,#N/A,FALSE,"현장품질감사"}</definedName>
    <definedName name="동별레미콘" hidden="1">{#N/A,#N/A,FALSE,"Sheet1"}</definedName>
    <definedName name="동별집계" hidden="1">{#N/A,#N/A,FALSE,"전력간선"}</definedName>
    <definedName name="동부" localSheetId="0" hidden="1">{#N/A,#N/A,FALSE,"현장 NCR 분석";#N/A,#N/A,FALSE,"현장품질감사";#N/A,#N/A,FALSE,"현장품질감사"}</definedName>
    <definedName name="동부" hidden="1">{#N/A,#N/A,FALSE,"현장 NCR 분석";#N/A,#N/A,FALSE,"현장품질감사";#N/A,#N/A,FALSE,"현장품질감사"}</definedName>
    <definedName name="동소기성" hidden="1">{#N/A,#N/A,TRUE,"총괄"}</definedName>
    <definedName name="동소변경" hidden="1">{#N/A,#N/A,TRUE,"총괄"}</definedName>
    <definedName name="동시" hidden="1">{#N/A,#N/A,FALSE,"전력간선"}</definedName>
    <definedName name="동원" hidden="1">{#N/A,#N/A,FALSE,"포장단가"}</definedName>
    <definedName name="동원인원" hidden="1">#REF!</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준" localSheetId="0" hidden="1">{"'Firr(선)'!$AS$1:$AY$62","'Firr(사)'!$AS$1:$AY$62","'Firr(회)'!$AS$1:$AY$62","'Firr(선)'!$L$1:$V$62","'Firr(사)'!$L$1:$V$62","'Firr(회)'!$L$1:$V$62"}</definedName>
    <definedName name="동준" hidden="1">{"'Firr(선)'!$AS$1:$AY$62","'Firr(사)'!$AS$1:$AY$62","'Firr(회)'!$AS$1:$AY$62","'Firr(선)'!$L$1:$V$62","'Firr(사)'!$L$1:$V$62","'Firr(회)'!$L$1:$V$62"}</definedName>
    <definedName name="동준친" localSheetId="0" hidden="1">{"'Firr(선)'!$AS$1:$AY$62","'Firr(사)'!$AS$1:$AY$62","'Firr(회)'!$AS$1:$AY$62","'Firr(선)'!$L$1:$V$62","'Firr(사)'!$L$1:$V$62","'Firr(회)'!$L$1:$V$62"}</definedName>
    <definedName name="동준친" hidden="1">{"'Firr(선)'!$AS$1:$AY$62","'Firr(사)'!$AS$1:$AY$62","'Firr(회)'!$AS$1:$AY$62","'Firr(선)'!$L$1:$V$62","'Firr(사)'!$L$1:$V$62","'Firr(회)'!$L$1:$V$62"}</definedName>
    <definedName name="되" hidden="1">{#N/A,#N/A,FALSE,"운반시간"}</definedName>
    <definedName name="됨" hidden="1">{"'Firr(선)'!$AS$1:$AY$62","'Firr(사)'!$AS$1:$AY$62","'Firr(회)'!$AS$1:$AY$62","'Firr(선)'!$L$1:$V$62","'Firr(사)'!$L$1:$V$62","'Firr(회)'!$L$1:$V$62"}</definedName>
    <definedName name="됴ㅠ굑ㅇ" hidden="1">{#N/A,#N/A,FALSE,"운반시간"}</definedName>
    <definedName name="두산건설" hidden="1">{#N/A,#N/A,FALSE,"현장 NCR 분석";#N/A,#N/A,FALSE,"현장품질감사";#N/A,#N/A,FALSE,"현장품질감사"}</definedName>
    <definedName name="두하랍셋" hidden="1">{#N/A,#N/A,FALSE,"현장 NCR 분석";#N/A,#N/A,FALSE,"현장품질감사";#N/A,#N/A,FALSE,"현장품질감사"}</definedName>
    <definedName name="두호" hidden="1">{#N/A,#N/A,FALSE,"2~8번"}</definedName>
    <definedName name="뒷표지" hidden="1">{#N/A,#N/A,FALSE,"양식(을)"}</definedName>
    <definedName name="드라공" hidden="1">#REF!</definedName>
    <definedName name="떠" hidden="1">{#N/A,#N/A,FALSE,"단면 제원"}</definedName>
    <definedName name="ㄹ" hidden="1">{#N/A,#N/A,TRUE,"토적및재료집계";#N/A,#N/A,TRUE,"토적및재료집계";#N/A,#N/A,TRUE,"단위량"}</definedName>
    <definedName name="ㄹ1313" hidden="1">{"1단계 투자비명세",#N/A,FALSE,"투자비명세";"2단계 투자비명세",#N/A,FALSE,"투자비명세"}</definedName>
    <definedName name="ㄹㄴ" hidden="1">#REF!</definedName>
    <definedName name="ㄹㄴㄹㅇㅁㄴ" hidden="1">#N/A</definedName>
    <definedName name="ㄹㄴㅁㄹ" hidden="1">#N/A</definedName>
    <definedName name="ㄹㄴㅁㄹㅇㅁㄴ" hidden="1">#REF!</definedName>
    <definedName name="ㄹㄴㅇㄻㄴ" hidden="1">{#N/A,#N/A,FALSE,"단가표지"}</definedName>
    <definedName name="ㄹㄴ웋" hidden="1">{#N/A,#N/A,FALSE,"운반시간"}</definedName>
    <definedName name="ㄹ노" hidden="1">#N/A</definedName>
    <definedName name="ㄹ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ㄴ" localSheetId="0" hidden="1">{#N/A,#N/A,FALSE,"배수1"}</definedName>
    <definedName name="ㄹㄷㄴ" hidden="1">{#N/A,#N/A,FALSE,"배수1"}</definedName>
    <definedName name="ㄹㄷㅈ" hidden="1">{#N/A,#N/A,FALSE,"표지목차"}</definedName>
    <definedName name="ㄹㄹ" hidden="1">#REF!</definedName>
    <definedName name="ㄹㄹ1312" hidden="1">{"추정현금흐름표",#N/A,FALSE,"추정IS,CF,무상사용"}</definedName>
    <definedName name="ㄹㄹㄹ" localSheetId="1" hidden="1">#REF!</definedName>
    <definedName name="ㄹㄹㄹ" hidden="1">#REF!</definedName>
    <definedName name="ㄹㄹㄹ13" hidden="1">{"추정손익계산서",#N/A,FALSE,"추정IS,CF,무상사용"}</definedName>
    <definedName name="ㄹㄹㄹ231" hidden="1">{"추정대차대조표",#N/A,FALSE,"추정BS"}</definedName>
    <definedName name="ㄹㄹㄹ23232" hidden="1">{"장비보유",#N/A,FALSE,"장비소요"}</definedName>
    <definedName name="ㄹㄹㄹㄹ" localSheetId="0" hidden="1">{"'Firr(선)'!$AS$1:$AY$62","'Firr(사)'!$AS$1:$AY$62","'Firr(회)'!$AS$1:$AY$62","'Firr(선)'!$L$1:$V$62","'Firr(사)'!$L$1:$V$62","'Firr(회)'!$L$1:$V$62"}</definedName>
    <definedName name="ㄹㄹㄹㄹ" hidden="1">{"'Firr(선)'!$AS$1:$AY$62","'Firr(사)'!$AS$1:$AY$62","'Firr(회)'!$AS$1:$AY$62","'Firr(선)'!$L$1:$V$62","'Firr(사)'!$L$1:$V$62","'Firr(회)'!$L$1:$V$62"}</definedName>
    <definedName name="ㄹㄹㄹㄹㄴㄷ326" hidden="1">#REF!</definedName>
    <definedName name="ㄹㄹㄹㄹ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ㄹㄹ" hidden="1">#REF!</definedName>
    <definedName name="ㄹㄹㄹㅈㄹ" hidden="1">{#N/A,#N/A,FALSE,"혼합골재"}</definedName>
    <definedName name="ㄹㄹ로" hidden="1">{#N/A,#N/A,FALSE,"골재소요량";#N/A,#N/A,FALSE,"골재소요량"}</definedName>
    <definedName name="ㄹㅇ" localSheetId="0" hidden="1">{#N/A,#N/A,FALSE,"현장 NCR 분석";#N/A,#N/A,FALSE,"현장품질감사";#N/A,#N/A,FALSE,"현장품질감사"}</definedName>
    <definedName name="ㄹㅇ" hidden="1">{#N/A,#N/A,TRUE,"Y생산";#N/A,#N/A,TRUE,"Y판매";#N/A,#N/A,TRUE,"Y총물량";#N/A,#N/A,TRUE,"Y능력";#N/A,#N/A,TRUE,"YKD"}</definedName>
    <definedName name="ㄹㅇㄴ" localSheetId="0" hidden="1">{#N/A,#N/A,FALSE,"구조2"}</definedName>
    <definedName name="ㄹㅇㄴ" hidden="1">#REF!</definedName>
    <definedName name="ㄹㅇㄴㄹ" hidden="1">#N/A</definedName>
    <definedName name="ㄹㅇㄴㄹㄴㅇㄹㄴㅇㄹ" localSheetId="0" hidden="1">{"'정산내역서'!$A$1:$I$35","'정산서(절.성토부)'!$A$1:$Q$17","'정산서(교량부)'!$A$1:$Q$84","'총괄표'!$A$1:$M$12","'시행현황'!$A$1:$G$12","'표지'!$A$1:$N$27","'정산서(절.성토부)'!$A$3:$Q$7"}</definedName>
    <definedName name="ㄹㅇㄴㄹㄴㅇㄹㄴㅇㄹ" hidden="1">{"'정산내역서'!$A$1:$I$35","'정산서(절.성토부)'!$A$1:$Q$17","'정산서(교량부)'!$A$1:$Q$84","'총괄표'!$A$1:$M$12","'시행현황'!$A$1:$G$12","'표지'!$A$1:$N$27","'정산서(절.성토부)'!$A$3:$Q$7"}</definedName>
    <definedName name="ㄹㅇㄴㄹㄹㄷ" hidden="1">{#N/A,#N/A,FALSE,"포장1";#N/A,#N/A,FALSE,"포장1"}</definedName>
    <definedName name="ㄹㅇㄹ" localSheetId="0" hidden="1">{#N/A,#N/A,FALSE,"골재소요량";#N/A,#N/A,FALSE,"골재소요량"}</definedName>
    <definedName name="ㄹㅇㄹ" hidden="1">{#N/A,#N/A,FALSE,"단면 제원"}</definedName>
    <definedName name="ㄹㅇㄹㄴ12323" hidden="1">{"장비보유1",#N/A,FALSE,"장비보유현황";"장비보유2",#N/A,FALSE,"장비보유현황"}</definedName>
    <definedName name="ㄹㅇㄹㄴㅇ" hidden="1">{"'단가비교'!$A$1:$Q$21"}</definedName>
    <definedName name="ㄹㅇㄹㄷㅈㅍ" hidden="1">{#N/A,#N/A,FALSE,"혼합골재"}</definedName>
    <definedName name="ㄹㅇㄹㅇ" hidden="1">#REF!</definedName>
    <definedName name="ㄹㅇㄹㅈㄷㅊ" localSheetId="0" hidden="1">#REF!</definedName>
    <definedName name="ㄹㅇㄹㅈㄷㅊ" hidden="1">#REF!</definedName>
    <definedName name="ㄹㅇㅁㄴㄹ" hidden="1">{#N/A,#N/A,FALSE,"혼합골재"}</definedName>
    <definedName name="ㄹㅇㅁㄴㅇㄻㄴㅇㄻ"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ㅇㅇㅇ" hidden="1">#REF!</definedName>
    <definedName name="ㄹㅇ퓨ㅓㅜㅏㅗㅜㅠㅅ퐇휴ㅗㅎ" localSheetId="0" hidden="1">{#N/A,#N/A,FALSE,"조골재"}</definedName>
    <definedName name="ㄹㅇ퓨ㅓㅜㅏㅗㅜㅠㅅ퐇휴ㅗㅎ" hidden="1">{#N/A,#N/A,FALSE,"조골재"}</definedName>
    <definedName name="ㄹㅇㅎ" hidden="1">{#N/A,#N/A,FALSE,"배수2"}</definedName>
    <definedName name="ㄹㅇㅎㄴㅇ" hidden="1">{#N/A,#N/A,FALSE,"조골재"}</definedName>
    <definedName name="ㄹㅇㅎㅇㅀ" hidden="1">{#N/A,#N/A,FALSE,"부대2"}</definedName>
    <definedName name="ㄹㅈㄷㅅㅈㅅ" hidden="1">#REF!</definedName>
    <definedName name="ㄹㅊㅊ" hidden="1">{"추정손익계산서",#N/A,FALSE,"추정IS,CF,무상사용"}</definedName>
    <definedName name="ㄹ허ㅗ" hidden="1">{#N/A,#N/A,FALSE,"이정표"}</definedName>
    <definedName name="ㄹ호" localSheetId="0" hidden="1">#REF!</definedName>
    <definedName name="ㄹ호" hidden="1">{#N/A,#N/A,FALSE,"표지목차"}</definedName>
    <definedName name="ㄹ호88" hidden="1">#REF!</definedName>
    <definedName name="ㄹ혼" hidden="1">{#N/A,#N/A,FALSE,"단면 제원"}</definedName>
    <definedName name="ㄹ홓ㄹ" hidden="1">{#N/A,#N/A,FALSE,"조골재"}</definedName>
    <definedName name="ㄹ히" hidden="1">{#N/A,#N/A,TRUE,"Y생산";#N/A,#N/A,TRUE,"Y판매";#N/A,#N/A,TRUE,"Y총물량";#N/A,#N/A,TRUE,"Y능력";#N/A,#N/A,TRUE,"YKD"}</definedName>
    <definedName name="라바콘설치현황" localSheetId="0" hidden="1">{"'정산내역서'!$A$1:$I$35","'정산서(절.성토부)'!$A$1:$Q$17","'정산서(교량부)'!$A$1:$Q$84","'총괄표'!$A$1:$M$12","'시행현황'!$A$1:$G$12","'표지'!$A$1:$N$27","'정산서(절.성토부)'!$A$3:$Q$7"}</definedName>
    <definedName name="라바콘설치현황" hidden="1">{"'정산내역서'!$A$1:$I$35","'정산서(절.성토부)'!$A$1:$Q$17","'정산서(교량부)'!$A$1:$Q$84","'총괄표'!$A$1:$M$12","'시행현황'!$A$1:$G$12","'표지'!$A$1:$N$27","'정산서(절.성토부)'!$A$3:$Q$7"}</definedName>
    <definedName name="라오스" hidden="1">{#N/A,#N/A,FALSE,"배수1"}</definedName>
    <definedName name="란어ㅏㅈ도갣쟐ㅇ나ㅓ랑곶댕갸ㅓㅈ딩ㅁ" hidden="1">{#N/A,#N/A,FALSE,"조골재"}</definedName>
    <definedName name="람어리마ㅓㅇㄹ" hidden="1">{#N/A,#N/A,FALSE,"조골재"}</definedName>
    <definedName name="래" hidden="1">{#N/A,#N/A,FALSE,"단면 제원"}</definedName>
    <definedName name="럴얼ㅓ" hidden="1">#N/A</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ㅓ로ㅓㄹ" hidden="1">{#N/A,#N/A,FALSE,"2~8번"}</definedName>
    <definedName name="로ㅓㅎ러호ㅓㅎ" hidden="1">#N/A</definedName>
    <definedName name="로ㅗ" hidden="1">{#N/A,#N/A,FALSE,"현장 NCR 분석";#N/A,#N/A,FALSE,"현장품질감사";#N/A,#N/A,FALSE,"현장품질감사"}</definedName>
    <definedName name="로ㅡㅗ프" hidden="1">{#N/A,#N/A,FALSE,"골재소요량";#N/A,#N/A,FALSE,"골재소요량"}</definedName>
    <definedName name="롫ㅀㄹ" hidden="1">{"추정현금흐름표",#N/A,FALSE,"추정IS,CF,무상사용"}</definedName>
    <definedName name="료ㅜㅇ교" hidden="1">{#N/A,#N/A,FALSE,"표지목차"}</definedName>
    <definedName name="루" hidden="1">{#N/A,#N/A,FALSE,"단면 제원"}</definedName>
    <definedName name="룻우ㅕㄴ" hidden="1">{#N/A,#N/A,FALSE,"골재소요량";#N/A,#N/A,FALSE,"골재소요량"}</definedName>
    <definedName name="류효정" localSheetId="0" hidden="1">{"'Firr(선)'!$AS$1:$AY$62","'Firr(사)'!$AS$1:$AY$62","'Firr(회)'!$AS$1:$AY$62","'Firr(선)'!$L$1:$V$62","'Firr(사)'!$L$1:$V$62","'Firr(회)'!$L$1:$V$62"}</definedName>
    <definedName name="류효정" hidden="1">{"'Firr(선)'!$AS$1:$AY$62","'Firr(사)'!$AS$1:$AY$62","'Firr(회)'!$AS$1:$AY$62","'Firr(선)'!$L$1:$V$62","'Firr(사)'!$L$1:$V$62","'Firr(회)'!$L$1:$V$62"}</definedName>
    <definedName name="률류" hidden="1">{#N/A,#N/A,FALSE,"혼합골재"}</definedName>
    <definedName name="리" hidden="1">{#N/A,#N/A,FALSE,"단면 제원"}</definedName>
    <definedName name="리모델링" hidden="1">#REF!</definedName>
    <definedName name="리비" hidden="1">#REF!</definedName>
    <definedName name="리ㅣ"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ㄺㄴㅁㅇㄻ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ㄺㄹㄷㄹㄷㄹㄷㄹㄷ" hidden="1">{"'중기작업1'!$A$1:$V$18"}</definedName>
    <definedName name="ㄺㄺㄺㄺㄱ" hidden="1">{"'중기작업1'!$A$1:$V$18"}</definedName>
    <definedName name="ㄺㄺㄺㄺㄺㄹ" hidden="1">{"'중기작업1'!$A$1:$V$18"}</definedName>
    <definedName name="ㄻㄴㄹㅇㄴㅁ" hidden="1">{#N/A,#N/A,FALSE,"운반시간"}</definedName>
    <definedName name="ㄻㄴㄻㄴㅇㄻㄴ" hidden="1">{#N/A,#N/A,FALSE,"표지목차"}</definedName>
    <definedName name="ㄻㄴㅇㄻㄴ" hidden="1">{#N/A,#N/A,FALSE,"단가표지"}</definedName>
    <definedName name="ㄻㄴㅇㄻㄴㄹ" hidden="1">{#N/A,#N/A,FALSE,"2~8번"}</definedName>
    <definedName name="ㄻㄴㅇㄻㄴㄻㄴㅁㄴ" hidden="1">{#N/A,#N/A,FALSE,"단가표지"}</definedName>
    <definedName name="ㄻㄴㅇㄻㄴㅁ" hidden="1">{#N/A,#N/A,FALSE,"운반시간"}</definedName>
    <definedName name="ㄻㄴㅇㄻㄴㅇ" hidden="1">{#N/A,#N/A,FALSE,"단가표지"}</definedName>
    <definedName name="ㄻㄴㅇㄻㄴㅇㄻ" hidden="1">{#N/A,#N/A,FALSE,"표지목차"}</definedName>
    <definedName name="ㄻㄴㅇㅁㄴㅇ" hidden="1">{#N/A,#N/A,FALSE,"단가표지"}</definedName>
    <definedName name="ㄻㄴㅇㅂㄹㄷㅁㄴㅇ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ㄻㄹ" hidden="1">{#N/A,#N/A,FALSE,"포장2"}</definedName>
    <definedName name="ㄻㄻ" hidden="1">{"'Sheet1'!$A$4","'Sheet1'!$A$9:$G$28"}</definedName>
    <definedName name="ㄻㅁ" hidden="1">{#N/A,#N/A,FALSE,"조골재"}</definedName>
    <definedName name="ㄻㅈㄷㄴㅇㅌㅊㅌ" hidden="1">{"추정대차대조표",#N/A,FALSE,"추정BS"}</definedName>
    <definedName name="ㄿㄿㄹㄹ" hidden="1">{"추정손익계산서",#N/A,FALSE,"추정IS,CF,무상사용"}</definedName>
    <definedName name="ㅀ" localSheetId="0" hidden="1">{#N/A,#N/A,TRUE,"토적및재료집계";#N/A,#N/A,TRUE,"토적및재료집계";#N/A,#N/A,TRUE,"단위량"}</definedName>
    <definedName name="ㅀ" hidden="1">{#N/A,#N/A,TRUE,"토적및재료집계";#N/A,#N/A,TRUE,"토적및재료집계";#N/A,#N/A,TRUE,"단위량"}</definedName>
    <definedName name="ㅀㄳㅎ" hidden="1">{#N/A,#N/A,FALSE,"혼합골재"}</definedName>
    <definedName name="ㅀㄴㅇㅀ" hidden="1">#REF!</definedName>
    <definedName name="ㅀㄹ" hidden="1">{#N/A,#N/A,TRUE,"토적및재료집계";#N/A,#N/A,TRUE,"토적및재료집계";#N/A,#N/A,TRUE,"단위량"}</definedName>
    <definedName name="ㅀㅀ" hidden="1">{"'Firr(선)'!$AS$1:$AY$62","'Firr(사)'!$AS$1:$AY$62","'Firr(회)'!$AS$1:$AY$62","'Firr(선)'!$L$1:$V$62","'Firr(사)'!$L$1:$V$62","'Firr(회)'!$L$1:$V$62"}</definedName>
    <definedName name="ㅀㅀㄴ" localSheetId="0" hidden="1">{#N/A,#N/A,FALSE,"조골재"}</definedName>
    <definedName name="ㅀㅀㄴ" hidden="1">{#N/A,#N/A,FALSE,"조골재"}</definedName>
    <definedName name="ㅀㅀㅀㅀ" hidden="1">{"'중기작업1'!$A$1:$V$18"}</definedName>
    <definedName name="ㅀㅁ" hidden="1">{#N/A,#N/A,FALSE,"조골재"}</definedName>
    <definedName name="ㅀㅇㅁ" hidden="1">{#N/A,#N/A,FALSE,"골재소요량";#N/A,#N/A,FALSE,"골재소요량"}</definedName>
    <definedName name="ㅀ오ㅓㅎ롱ㄶㄹㄴ" localSheetId="0" hidden="1">{#N/A,#N/A,FALSE,"2~8번"}</definedName>
    <definedName name="ㅀ오ㅓㅎ롱ㄶㄹㄴ" hidden="1">{#N/A,#N/A,FALSE,"2~8번"}</definedName>
    <definedName name="ㅀㅎ" localSheetId="0" hidden="1">{#N/A,#N/A,FALSE,"2~8번"}</definedName>
    <definedName name="ㅀㅎ" hidden="1">{#N/A,#N/A,FALSE,"2~8번"}</definedName>
    <definedName name="ㅁ" hidden="1">#REF!</definedName>
    <definedName name="ㅁ121212" hidden="1">{"공업단지",#N/A,FALSE,"배후단지 및 부대사업"}</definedName>
    <definedName name="ㅁㄱ" hidden="1">#REF!</definedName>
    <definedName name="ㅁㄱㅁ" hidden="1">{#N/A,#N/A,FALSE,"단가표지"}</definedName>
    <definedName name="ㅁㄱㅁㅇ" hidden="1">{#N/A,#N/A,FALSE,"2~8번"}</definedName>
    <definedName name="ㅁㄱㅂ" hidden="1">{#N/A,#N/A,FALSE,"단가표지"}</definedName>
    <definedName name="ㅁㄱ욕ㄴㅁㅇㄹㄹㅇ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ㄴ" localSheetId="0" hidden="1">#REF!</definedName>
    <definedName name="ㅁㄴ" hidden="1">{#N/A,#N/A,FALSE,"2~8번"}</definedName>
    <definedName name="ㅁㄴㄴ" hidden="1">{#N/A,#N/A,FALSE,"골재소요량";#N/A,#N/A,FALSE,"골재소요량"}</definedName>
    <definedName name="ㅁㄴㄴㄴㄴㄴㄴㄴㄴㄴㄴㄴㄴㄴㄴㄴㄴㄴㄴㄴ" hidden="1">{#N/A,#N/A,FALSE,"2~8번"}</definedName>
    <definedName name="ㅁㄴㄴㄴㄴㄴㄴㄴㄴㅁㄴㅇㄹ" hidden="1">{#N/A,#N/A,FALSE,"골재소요량";#N/A,#N/A,FALSE,"골재소요량"}</definedName>
    <definedName name="ㅁㄴㄴㅇ" hidden="1">{#N/A,#N/A,FALSE,"조골재"}</definedName>
    <definedName name="ㅁㄴㄹ" localSheetId="0" hidden="1">{#N/A,#N/A,FALSE,"골재소요량";#N/A,#N/A,FALSE,"골재소요량"}</definedName>
    <definedName name="ㅁㄴㄹ" hidden="1">{#N/A,#N/A,FALSE,"골재소요량";#N/A,#N/A,FALSE,"골재소요량"}</definedName>
    <definedName name="ㅁㄴㄹㄴ" hidden="1">{#N/A,#N/A,FALSE,"운반시간"}</definedName>
    <definedName name="ㅁㄴㄹㄴㅁㄹㄴㅁㄻㄻㅁㅁㅁㅁ" hidden="1">{#N/A,#N/A,FALSE,"혼합골재"}</definedName>
    <definedName name="ㅁㄴㄹㄻㄻ"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ㄴㄹㅇㅁ" hidden="1">{#N/A,#N/A,FALSE,"단가표지"}</definedName>
    <definedName name="ㅁㄴㄾㅊ" hidden="1">{#N/A,#N/A,FALSE,"운반시간"}</definedName>
    <definedName name="ㅁㄴㄿㅎㄹ" hidden="1">{#N/A,#N/A,FALSE,"2~8번"}</definedName>
    <definedName name="ㅁㄴㅁ" hidden="1">{#N/A,#N/A,TRUE,"Y생산";#N/A,#N/A,TRUE,"Y판매";#N/A,#N/A,TRUE,"Y총물량";#N/A,#N/A,TRUE,"Y능력";#N/A,#N/A,TRUE,"YKD"}</definedName>
    <definedName name="ㅁㄴㅁㄴㅁㄴㅋㅌ" hidden="1">{"부대사업수익총괄",#N/A,FALSE,"배후단지 및 부대사업"}</definedName>
    <definedName name="ㅁㄴㅁㅇ" hidden="1">#REF!</definedName>
    <definedName name="ㅁㄴㅁㅇㄴㅁㄴㅇ" localSheetId="0" hidden="1">{#N/A,#N/A,FALSE,"조골재"}</definedName>
    <definedName name="ㅁㄴㅁㅇㄴㅁㄴㅇ" hidden="1">{#N/A,#N/A,FALSE,"조골재"}</definedName>
    <definedName name="ㅁㄴㅇ" hidden="1">{#N/A,#N/A,FALSE,"운반시간"}</definedName>
    <definedName name="ㅁㄴㅇㄴ" hidden="1">{#N/A,#N/A,TRUE,"토적및재료집계";#N/A,#N/A,TRUE,"토적및재료집계";#N/A,#N/A,TRUE,"단위량"}</definedName>
    <definedName name="ㅁㄴㅇㄹ" hidden="1">{#N/A,#N/A,FALSE,"속도"}</definedName>
    <definedName name="ㅁㄴㅇㄹㄷㄱ" hidden="1">{#N/A,#N/A,FALSE,"배수1"}</definedName>
    <definedName name="ㅁㄴㅇㄹ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ㄴㅇ류" hidden="1">#REF!</definedName>
    <definedName name="ㅁㄴㅇㄻ" hidden="1">{#N/A,#N/A,FALSE,"이정표"}</definedName>
    <definedName name="ㅁㄴㅇㄻㄴㄻㄴㄻㅇㄻㅈㄷㄼㄱㄷㅈ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ㄴㅇㄻㄴㅇㄹ" hidden="1">{#N/A,#N/A,FALSE,"2~8번"}</definedName>
    <definedName name="ㅁㄴㅇㄻㄴㅇㄹㄴ" hidden="1">#REF!</definedName>
    <definedName name="ㅁㄴㅇㄻㄴㅇㄹㅊㅌㅊㅍㅁ" hidden="1">{"추정현금흐름표",#N/A,FALSE,"추정IS,CF,무상사용"}</definedName>
    <definedName name="ㅁㄴㅇㄻㄴㅇㄻㄴㅇㄻㄴㅇㄹ" hidden="1">{#N/A,#N/A,FALSE,"2~8번"}</definedName>
    <definedName name="ㅁㄴㅇㄻㄴㅇㄻㄴㅇㄻㄴㅇㄻㄴㅇㄻㄴㅇㄻㅇㄻㅇㄹ" hidden="1">{#N/A,#N/A,FALSE,"2~8번"}</definedName>
    <definedName name="ㅁㄴㅇㄻㄴㅇㄻㄴㅇㅁㄴㅁㅇ" hidden="1">{#N/A,#N/A,FALSE,"운반시간"}</definedName>
    <definedName name="ㅁㄴㅇㄻㄴㅇㄻㅇ" hidden="1">{#N/A,#N/A,FALSE,"조골재"}</definedName>
    <definedName name="ㅁㄴㅇㄻㄴㅇㅁㅇㄻㅇㄻㅇㄻㅇㄻㄴㅇㄻㄴㅇㄹ" hidden="1">{#N/A,#N/A,FALSE,"조골재"}</definedName>
    <definedName name="ㅁㄴㅇㄻㅇㄻㄴㅁㅁ" hidden="1">{#N/A,#N/A,FALSE,"조골재"}</definedName>
    <definedName name="ㅁㄴㅇㅁ" localSheetId="0" hidden="1">{#N/A,#N/A,FALSE,"현장 NCR 분석";#N/A,#N/A,FALSE,"현장품질감사";#N/A,#N/A,FALSE,"현장품질감사"}</definedName>
    <definedName name="ㅁㄴㅇㅁ" hidden="1">{#N/A,#N/A,FALSE,"배수1"}</definedName>
    <definedName name="ㅁㄴㅇㅁㄴㅇ" hidden="1">#REF!</definedName>
    <definedName name="ㅁㄴㅇㅁㄴㅇㅁㅇ" hidden="1">{#N/A,#N/A,FALSE,"2~8번"}</definedName>
    <definedName name="ㅁㄴㅇㅈ" hidden="1">{#N/A,#N/A,FALSE,"현장 NCR 분석";#N/A,#N/A,FALSE,"현장품질감사";#N/A,#N/A,FALSE,"현장품질감사"}</definedName>
    <definedName name="ㅁㄴㅇㅈㅈ" hidden="1">#REF!</definedName>
    <definedName name="ㅁㄴㅇㅈㅈ3223" hidden="1">#REF!</definedName>
    <definedName name="ㅁㄴㅇㅍㄴㅇㄴ" localSheetId="0" hidden="1">#REF!</definedName>
    <definedName name="ㅁㄴㅇㅍㄴㅇㄴ" hidden="1">#REF!</definedName>
    <definedName name="ㅁㄴㅇㅎ" hidden="1">{#N/A,#N/A,FALSE,"포장2"}</definedName>
    <definedName name="ㅁㄴㅇㅎㅎ" hidden="1">{#N/A,#N/A,FALSE,"혼합골재"}</definedName>
    <definedName name="ㅁㄴ아ㅣㄹ멀" hidden="1">{#N/A,#N/A,FALSE,"조골재"}</definedName>
    <definedName name="ㅁㄴㅊㅍㅁㅌㅊ펌ㄴㅇㄹ" hidden="1">#REF!</definedName>
    <definedName name="ㅁ너ㅐㅓㅇ" hidden="1">{#N/A,#N/A,FALSE,"조골재"}</definedName>
    <definedName name="ㅁ넝리머" hidden="1">{#N/A,#N/A,FALSE,"조골재"}</definedName>
    <definedName name="ㅁ니아민ㅇㅁㄴㅇㅁㄴ" hidden="1">{#N/A,#N/A,FALSE,"지침";#N/A,#N/A,FALSE,"환경분석";#N/A,#N/A,FALSE,"Sheet16"}</definedName>
    <definedName name="ㅁㄶㄷㅎㄴㄹㅇㄴ" hidden="1">{#N/A,#N/A,FALSE,"배수1"}</definedName>
    <definedName name="ㅁㄷ" localSheetId="0" hidden="1">#REF!</definedName>
    <definedName name="ㅁㄷ" hidden="1">{"'Sheet1'!$A$4","'Sheet1'!$A$9:$G$28"}</definedName>
    <definedName name="ㅁㄷㄱ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ㄷㄱㅍㄱㅈㅁ" hidden="1">{#N/A,#N/A,FALSE,"골재소요량";#N/A,#N/A,FALSE,"골재소요량"}</definedName>
    <definedName name="ㅁㄷ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ㄷ교ㅗ" hidden="1">{#N/A,#N/A,FALSE,"이정표"}</definedName>
    <definedName name="ㅁㄷㅈㄳ" hidden="1">{#N/A,#N/A,FALSE,"이정표"}</definedName>
    <definedName name="ㅁㄷㅎㅁㅎㅁ" hidden="1">{#N/A,#N/A,FALSE,"조골재"}</definedName>
    <definedName name="ㅁㄹ" localSheetId="1" hidden="1">{#N/A,#N/A,FALSE,"속도"}</definedName>
    <definedName name="ㅁㄹ" hidden="1">{#N/A,#N/A,FALSE,"2~8번"}</definedName>
    <definedName name="ㅁㄹㄴㄻㄴㄹㄴㅁㄹㄴㅇㄹㄴㅇㄹ" hidden="1">{#N/A,#N/A,FALSE,"포장2"}</definedName>
    <definedName name="ㅁㄹㄴㅇ" hidden="1">{#N/A,#N/A,FALSE,"단가표지"}</definedName>
    <definedName name="ㅁㄹㄴㅇㄹㄴㅁㄹ" hidden="1">{#N/A,#N/A,FALSE,"포장1";#N/A,#N/A,FALSE,"포장1"}</definedName>
    <definedName name="ㅁㄹㄴㅇㄻㄴㄹ" hidden="1">{#N/A,#N/A,FALSE,"골재소요량";#N/A,#N/A,FALSE,"골재소요량"}</definedName>
    <definedName name="ㅁㄹㄴㅇㅁ" hidden="1">{#N/A,#N/A,FALSE,"표지목차"}</definedName>
    <definedName name="ㅁㄹㄴㅇㅁㄻㄹㄴㅁㄹ" hidden="1">{#N/A,#N/A,FALSE,"조골재"}</definedName>
    <definedName name="ㅁㄹㄴㅇㅋㄹ" hidden="1">{"추정손익계산서",#N/A,FALSE,"추정IS,CF,무상사용"}</definedName>
    <definedName name="ㅁㄹㄴㅇㅎㄴㄻㄴㄹㄴㅇ" hidden="1">{#N/A,#N/A,FALSE,"부대1"}</definedName>
    <definedName name="ㅁㄹㄷ" hidden="1">{#N/A,#N/A,FALSE,"표지목차"}</definedName>
    <definedName name="ㅁㄹㄹ" hidden="1">{#N/A,#N/A,FALSE,"2~8번"}</definedName>
    <definedName name="ㅁㄹㄹㄴㅇㄹㅇㄴㄹㄴㅇ" hidden="1">{#N/A,#N/A,FALSE,"포장1";#N/A,#N/A,FALSE,"포장1"}</definedName>
    <definedName name="ㅁㄹ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ㄹㅇㄴ" hidden="1">{#N/A,#N/A,FALSE,"단가표지"}</definedName>
    <definedName name="ㅁㄹㅇㄴㅁㄴㅇ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ㄹㅇㄴㅇㅁㄹㄴㄻㄴ" hidden="1">{#N/A,#N/A,FALSE,"이정표"}</definedName>
    <definedName name="ㅁㄹㅇㄹㅇㄴㄹㅇㄹㅇ" hidden="1">{#N/A,#N/A,FALSE,"표지목차"}</definedName>
    <definedName name="ㅁㄹㅇㅁㄴ" hidden="1">{#N/A,#N/A,FALSE,"골재소요량";#N/A,#N/A,FALSE,"골재소요량"}</definedName>
    <definedName name="ㅁㄹㅇㅁㄹㅋㅌㅊㅍㅋㅇㄹㄴ" hidden="1">{#N/A,#N/A,FALSE,"배당분석"}</definedName>
    <definedName name="ㅁㄻㄴㅇ" hidden="1">{#N/A,#N/A,FALSE,"골재소요량";#N/A,#N/A,FALSE,"골재소요량"}</definedName>
    <definedName name="ㅁㄻㄴㅇㄹㄴㅇㄹㄴ" hidden="1">#REF!</definedName>
    <definedName name="ㅁㄻㅁㅁㅁㄹㄴㅇㄹㅇㄴㄹㅈㄹㄴㅇ" hidden="1">{#N/A,#N/A,FALSE,"운반시간"}</definedName>
    <definedName name="ㅁ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ㅀㅎ" hidden="1">{#N/A,#N/A,FALSE,"골재소요량";#N/A,#N/A,FALSE,"골재소요량"}</definedName>
    <definedName name="ㅁㅁ"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ㅁㅁㄴㅇㄷ" hidden="1">{#N/A,#N/A,FALSE,"조골재"}</definedName>
    <definedName name="ㅁㅁㅁ" hidden="1">#REF!</definedName>
    <definedName name="ㅁㅁㅁㅁ" hidden="1">{"'Sheet1'!$A$4","'Sheet1'!$A$9:$G$28"}</definedName>
    <definedName name="ㅁㅁㅁㅁㅁㅁ" localSheetId="0" hidden="1">#REF!</definedName>
    <definedName name="ㅁㅁㅁㅁㅁㅁ" localSheetId="1" hidden="1">#REF!</definedName>
    <definedName name="ㅁㅁㅁㅁㅁㅁ" hidden="1">{#N/A,#N/A,FALSE,"단가표지"}</definedName>
    <definedName name="ㅁㅁㅁㅁㅁㅁㅁ" hidden="1">{#N/A,#N/A,FALSE,"표지목차"}</definedName>
    <definedName name="ㅁㅁㅁㅁㅁㅁㅁㅁ" hidden="1">{#N/A,#N/A,FALSE,"배수1"}</definedName>
    <definedName name="ㅁㅁㅁㅁㅁㅁㅁㅁㅁㅁㅁ" hidden="1">{#N/A,#N/A,FALSE,"운반시간"}</definedName>
    <definedName name="ㅁㅁㅂㅂ" hidden="1">{#N/A,#N/A,FALSE,"골재소요량";#N/A,#N/A,FALSE,"골재소요량"}</definedName>
    <definedName name="ㅁㅁㅇ" hidden="1">{#N/A,#N/A,FALSE,"골재소요량";#N/A,#N/A,FALSE,"골재소요량"}</definedName>
    <definedName name="ㅁㅅㅁㅎㅁㅎㅁ" hidden="1">{"개업비1",#N/A,FALSE,"개업비";"개업비2",#N/A,FALSE,"개업비";"개업비3",#N/A,FALSE,"개업비";"개업비4",#N/A,FALSE,"개업비"}</definedName>
    <definedName name="ㅁㅇ" hidden="1">#REF!</definedName>
    <definedName name="ㅁㅇㄴㄻㄴ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ㅇㄴㅁㅇㅁ" hidden="1">{#N/A,#N/A,FALSE,"배수1"}</definedName>
    <definedName name="ㅁㅇㄴㅋㄷㄱ" hidden="1">{#N/A,#N/A,FALSE,"조골재"}</definedName>
    <definedName name="ㅁㅇㄷ" hidden="1">{#N/A,#N/A,FALSE,"조골재"}</definedName>
    <definedName name="ㅁㅇㄹ" hidden="1">{#N/A,#N/A,FALSE,"Sheet1"}</definedName>
    <definedName name="ㅁㅇㄹㄴㅇㅁㄹ" hidden="1">{#N/A,#N/A,FALSE,"운반시간"}</definedName>
    <definedName name="ㅁㅇㄹㅁㅇㄹㅇㅁㄴ" hidden="1">{#N/A,#N/A,FALSE,"Sheet1"}</definedName>
    <definedName name="ㅁㅇㄹㅇㄴ" hidden="1">{#N/A,#N/A,FALSE,"조골재"}</definedName>
    <definedName name="ㅁㅇㄹㅈㅁㄻㅁㄴㅇㄻㄴㄻㄴ" hidden="1">{"1단계 투자비명세",#N/A,FALSE,"투자비명세";"2단계 투자비명세",#N/A,FALSE,"투자비명세"}</definedName>
    <definedName name="ㅁㅇㄻ" hidden="1">{#N/A,#N/A,FALSE,"조골재"}</definedName>
    <definedName name="ㅁㅇㄻㄴㄹ" hidden="1">{#N/A,#N/A,FALSE,"혼합골재"}</definedName>
    <definedName name="ㅁㅇㄻㄴㅇㄻㄴㅇㄻㄴㅇㄻㄴㅇ" hidden="1">{"운영설비비1",#N/A,FALSE,"운영설비비";"운영설비비2",#N/A,FALSE,"운영설비비"}</definedName>
    <definedName name="ㅁㅇㄻㄴㅇㄻㅍㅌㅊㅍㅌㅊㅍ" hidden="1">{"운영수익1",#N/A,FALSE,"운영수익";"운영수익2",#N/A,FALSE,"운영수익";"운영수익3",#N/A,FALSE,"운영수익"}</definedName>
    <definedName name="ㅁㅇㄻㅇㄴㅁㄴㅇㄻ" hidden="1">{#N/A,#N/A,FALSE,"조골재"}</definedName>
    <definedName name="ㅁㅇㄻㅇㄹ" hidden="1">{#N/A,#N/A,FALSE,"2~8번"}</definedName>
    <definedName name="ㅁㅇㄻㅇㄻㄴㅇㄻㄴㅇㄻㄴㅇㄻㄴ" hidden="1">{"부대사업수익총괄",#N/A,FALSE,"배후단지 및 부대사업"}</definedName>
    <definedName name="ㅁㅇㄻㅇㄻㅇㄻㄴㅇㄻㄴㅇㄹ" hidden="1">{"운영비용1",#N/A,FALSE,"운영비용";"운영비용2",#N/A,FALSE,"운영비용";"운영비용3",#N/A,FALSE,"운영비용";"운영비용4",#N/A,FALSE,"운영비용";"운영비용5",#N/A,FALSE,"운영비용";"운영비용6",#N/A,FALSE,"운영비용"}</definedName>
    <definedName name="ㅁㅇㄻㅇㄻㅇㄻㅇㄻㅇㄻ" hidden="1">{"부대사업본사업연결자료",#N/A,FALSE,"배후단지및부대사업연결"}</definedName>
    <definedName name="ㅁㅇㄻㅇㅎ" hidden="1">{#N/A,#N/A,FALSE,"조골재"}</definedName>
    <definedName name="ㅁㅇㅀㅁㅇ" hidden="1">{#N/A,#N/A,FALSE,"단가표지"}</definedName>
    <definedName name="ㅁㅇㅁㄴ" hidden="1">{#N/A,#N/A,FALSE,"UNIT";#N/A,#N/A,FALSE,"UNIT";#N/A,#N/A,FALSE,"계정"}</definedName>
    <definedName name="ㅁㅇㅁㄴㅇ" hidden="1">{#N/A,#N/A,FALSE,"조골재"}</definedName>
    <definedName name="ㅁㅇㅇ" hidden="1">{#N/A,#N/A,FALSE,"조골재"}</definedName>
    <definedName name="ㅁㅇㅇㅁㅇ" hidden="1">#REF!</definedName>
    <definedName name="ㅁㅇㅈ" hidden="1">{#N/A,#N/A,FALSE,"표지목차"}</definedName>
    <definedName name="ㅁ아아" hidden="1">{#N/A,#N/A,FALSE,"조골재"}</definedName>
    <definedName name="ㅁ앤" hidden="1">{#N/A,#N/A,FALSE,"운반시간"}</definedName>
    <definedName name="ㅁ인ㅍㅁ닟ㅍㅁㄴㅇㄹ" hidden="1">#REF!</definedName>
    <definedName name="ㅁ읾ㄴㅇㄻ" hidden="1">#REF!</definedName>
    <definedName name="ㅁㅈ" localSheetId="0" hidden="1">#REF!</definedName>
    <definedName name="ㅁㅈ" hidden="1">{"'Sheet1'!$A$4","'Sheet1'!$A$9:$G$28"}</definedName>
    <definedName name="ㅁㅈㄷㄱ" hidden="1">{#N/A,#N/A,FALSE,"골재소요량";#N/A,#N/A,FALSE,"골재소요량"}</definedName>
    <definedName name="ㅁㅈㄷㅅㅂㄱ흎ㅊ퓨" hidden="1">#REF!</definedName>
    <definedName name="ㅁㅈㅇㅁ" hidden="1">{#N/A,#N/A,FALSE,"혼합골재"}</definedName>
    <definedName name="ㅁㅊ" hidden="1">{"'Sheet1'!$A$4","'Sheet1'!$A$9:$G$28"}</definedName>
    <definedName name="ㅁㅊㅇㅍㅁㄴㅇㄻㄴㅇㄹ" hidden="1">#REF!</definedName>
    <definedName name="ㅁㅊㅊ" hidden="1">{"'Sheet1'!$A$4","'Sheet1'!$A$9:$G$28"}</definedName>
    <definedName name="ㅁㅊㅊ123" hidden="1">{"'Sheet1'!$A$4","'Sheet1'!$A$9:$G$28"}</definedName>
    <definedName name="ㅁㅋㄹㄴㅁㄻㄻㄴㄻ" hidden="1">{#N/A,#N/A,FALSE,"구조1"}</definedName>
    <definedName name="ㅁㅍㅊ" hidden="1">{#N/A,#N/A,FALSE,"속도"}</definedName>
    <definedName name="ㅁㅎㄱ" hidden="1">{#N/A,#N/A,FALSE,"토공2"}</definedName>
    <definedName name="ㅁㅎ귶" hidden="1">{#N/A,#N/A,FALSE,"포장1";#N/A,#N/A,FALSE,"포장1"}</definedName>
    <definedName name="ㅁㅎㄻㅇㄻ" hidden="1">{#N/A,#N/A,FALSE,"운반시간"}</definedName>
    <definedName name="ㅁㅎㅇㅀㅁㅇ" hidden="1">{#N/A,#N/A,FALSE,"2~8번"}</definedName>
    <definedName name="ㅁㅎㅇㅀㅁㅎ" hidden="1">{#N/A,#N/A,FALSE,"단가표지"}</definedName>
    <definedName name="ㅁㅎㅎㄴㅁㄹㅈ" hidden="1">{#N/A,#N/A,FALSE,"배수2"}</definedName>
    <definedName name="ㅁㅎㅎㅁㅎ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11111" hidden="1">{#N/A,#N/A,TRUE,"Y생산";#N/A,#N/A,TRUE,"Y판매";#N/A,#N/A,TRUE,"Y총물량";#N/A,#N/A,TRUE,"Y능력";#N/A,#N/A,TRUE,"YKD"}</definedName>
    <definedName name="마감" localSheetId="0" hidden="1">{#N/A,#N/A,FALSE,"갑지";#N/A,#N/A,FALSE,"개요";#N/A,#N/A,FALSE,"비목별";#N/A,#N/A,FALSE,"건물별";#N/A,#N/A,FALSE,"기구표";#N/A,#N/A,FALSE,"직원투입"}</definedName>
    <definedName name="마감" hidden="1">{#N/A,#N/A,TRUE,"Y생산";#N/A,#N/A,TRUE,"Y판매";#N/A,#N/A,TRUE,"Y총물량";#N/A,#N/A,TRUE,"Y능력";#N/A,#N/A,TRUE,"YKD"}</definedName>
    <definedName name="마감12" hidden="1">{#N/A,#N/A,TRUE,"Y생산";#N/A,#N/A,TRUE,"Y판매";#N/A,#N/A,TRUE,"Y총물량";#N/A,#N/A,TRUE,"Y능력";#N/A,#N/A,TRUE,"YKD"}</definedName>
    <definedName name="마감123" hidden="1">{#N/A,#N/A,FALSE,"96 3월물량표";#N/A,#N/A,FALSE,"96 4월물량표";#N/A,#N/A,FALSE,"96 5월물량표"}</definedName>
    <definedName name="마감830" hidden="1">{#N/A,#N/A,TRUE,"Y생산";#N/A,#N/A,TRUE,"Y판매";#N/A,#N/A,TRUE,"Y총물량";#N/A,#N/A,TRUE,"Y능력";#N/A,#N/A,TRUE,"YKD"}</definedName>
    <definedName name="마감831" hidden="1">{#N/A,#N/A,FALSE,"96 3월물량표";#N/A,#N/A,FALSE,"96 4월물량표";#N/A,#N/A,FALSE,"96 5월물량표"}</definedName>
    <definedName name="마감공사비A3" hidden="1">#REF!</definedName>
    <definedName name="마루" hidden="1">{#N/A,#N/A,FALSE,"현장 NCR 분석";#N/A,#N/A,FALSE,"현장품질감사";#N/A,#N/A,FALSE,"현장품질감사"}</definedName>
    <definedName name="마루판" hidden="1">{#N/A,#N/A,FALSE,"현장 NCR 분석";#N/A,#N/A,FALSE,"현장품질감사";#N/A,#N/A,FALSE,"현장품질감사"}</definedName>
    <definedName name="마어루" hidden="1">{#N/A,#N/A,FALSE,"골재소요량";#N/A,#N/A,FALSE,"골재소요량"}</definedName>
    <definedName name="마직막" hidden="1">#REF!</definedName>
    <definedName name="마ㅓㅇ라ㅓㅇㄴㄹ" hidden="1">{#N/A,#N/A,FALSE,"2~8번"}</definedName>
    <definedName name="만득이" localSheetId="0" hidden="1">{#N/A,#N/A,FALSE,"2~8번"}</definedName>
    <definedName name="만득이" hidden="1">{#N/A,#N/A,FALSE,"2~8번"}</definedName>
    <definedName name="만물" hidden="1">{#N/A,#N/A,FALSE,"혼합골재"}</definedName>
    <definedName name="만물시멘트" hidden="1">{#N/A,#N/A,FALSE,"토공2"}</definedName>
    <definedName name="만수" hidden="1">{#N/A,#N/A,FALSE,"현장 NCR 분석";#N/A,#N/A,FALSE,"현장품질감사";#N/A,#N/A,FALSE,"현장품질감사"}</definedName>
    <definedName name="망루"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폴기초"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매몰사진" hidden="1">{#N/A,#N/A,FALSE,"배수1"}</definedName>
    <definedName name="매입세액" hidden="1">{#N/A,#N/A,FALSE,"예상손익";#N/A,#N/A,FALSE,"관리분석";#N/A,#N/A,FALSE,"장비분석";#N/A,#N/A,FALSE,"준설분석";#N/A,#N/A,FALSE,"철구분석"}</definedName>
    <definedName name="매출액" hidden="1">#REF!</definedName>
    <definedName name="맨" hidden="1">{#N/A,#N/A,FALSE,"혼합골재"}</definedName>
    <definedName name="맨홀인상위치조서" hidden="1">{#N/A,#N/A,FALSE,"조골재"}</definedName>
    <definedName name="먀" hidden="1">#REF!</definedName>
    <definedName name="먀ㅐ얼" hidden="1">{#N/A,#N/A,FALSE,"조골재"}</definedName>
    <definedName name="머" hidden="1">{#N/A,#N/A,FALSE,"명세표"}</definedName>
    <definedName name="먼동" hidden="1">{#N/A,#N/A,FALSE,"현장 NCR 분석";#N/A,#N/A,FALSE,"현장품질감사";#N/A,#N/A,FALSE,"현장품질감사"}</definedName>
    <definedName name="먼득이" hidden="1">{#N/A,#N/A,FALSE,"골재소요량";#N/A,#N/A,FALSE,"골재소요량"}</definedName>
    <definedName name="먼일" hidden="1">{#N/A,#N/A,FALSE,"골재소요량";#N/A,#N/A,FALSE,"골재소요량"}</definedName>
    <definedName name="명일" hidden="1">{#N/A,#N/A,FALSE,"속도"}</definedName>
    <definedName name="모" hidden="1">{#N/A,#N/A,FALSE,"단면 제원"}</definedName>
    <definedName name="모냐" hidden="1">#REF!</definedName>
    <definedName name="모모.." hidden="1">{#N/A,#N/A,FALSE,"골재소요량";#N/A,#N/A,FALSE,"골재소요량"}</definedName>
    <definedName name="모선접지재"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목공가공장"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목차1" hidden="1">#REF!</definedName>
    <definedName name="목차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3" hidden="1">{#N/A,#N/A,FALSE,"2~8번"}</definedName>
    <definedName name="몰라" hidden="1">{#N/A,#N/A,FALSE,"명세표"}</definedName>
    <definedName name="몰라임마" hidden="1">{#N/A,#N/A,FALSE,"단가표지"}</definedName>
    <definedName name="몰러" hidden="1">#REF!</definedName>
    <definedName name="묘" hidden="1">#REF!</definedName>
    <definedName name="문서" localSheetId="0" hidden="1">{#N/A,#N/A,FALSE,"현장 NCR 분석";#N/A,#N/A,FALSE,"현장품질감사";#N/A,#N/A,FALSE,"현장품질감사"}</definedName>
    <definedName name="문서" hidden="1">{#N/A,#N/A,FALSE,"현장 NCR 분석";#N/A,#N/A,FALSE,"현장품질감사";#N/A,#N/A,FALSE,"현장품질감사"}</definedName>
    <definedName name="문제3" hidden="1">{#N/A,#N/A,FALSE,"단축1";#N/A,#N/A,FALSE,"단축2";#N/A,#N/A,FALSE,"단축3";#N/A,#N/A,FALSE,"장축";#N/A,#N/A,FALSE,"4WD"}</definedName>
    <definedName name="물가" hidden="1">{#N/A,#N/A,FALSE,"이태원철근"}</definedName>
    <definedName name="물가변동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연동" hidden="1">{#N/A,#N/A,FALSE,"Sheet1"}</definedName>
    <definedName name="물랴자" hidden="1">{#N/A,#N/A,TRUE,"Y생산";#N/A,#N/A,TRUE,"Y판매";#N/A,#N/A,TRUE,"Y총물량";#N/A,#N/A,TRUE,"Y능력";#N/A,#N/A,TRUE,"YKD"}</definedName>
    <definedName name="물량수" hidden="1">{#N/A,#N/A,TRUE,"Y생산";#N/A,#N/A,TRUE,"Y판매";#N/A,#N/A,TRUE,"Y총물량";#N/A,#N/A,TRUE,"Y능력";#N/A,#N/A,TRUE,"YKD"}</definedName>
    <definedName name="물량수전ㅇ" hidden="1">{#N/A,#N/A,TRUE,"Y생산";#N/A,#N/A,TRUE,"Y판매";#N/A,#N/A,TRUE,"Y총물량";#N/A,#N/A,TRUE,"Y능력";#N/A,#N/A,TRUE,"YKD"}</definedName>
    <definedName name="물량수정" hidden="1">{#N/A,#N/A,TRUE,"Y생산";#N/A,#N/A,TRUE,"Y판매";#N/A,#N/A,TRUE,"Y총물량";#N/A,#N/A,TRUE,"Y능력";#N/A,#N/A,TRUE,"YKD"}</definedName>
    <definedName name="물량수정1" hidden="1">{#N/A,#N/A,TRUE,"Y생산";#N/A,#N/A,TRUE,"Y판매";#N/A,#N/A,TRUE,"Y총물량";#N/A,#N/A,TRUE,"Y능력";#N/A,#N/A,TRUE,"YKD"}</definedName>
    <definedName name="물량수정2" hidden="1">{#N/A,#N/A,TRUE,"Y생산";#N/A,#N/A,TRUE,"Y판매";#N/A,#N/A,TRUE,"Y총물량";#N/A,#N/A,TRUE,"Y능력";#N/A,#N/A,TRUE,"YKD"}</definedName>
    <definedName name="물량정" hidden="1">{#N/A,#N/A,TRUE,"Y생산";#N/A,#N/A,TRUE,"Y판매";#N/A,#N/A,TRUE,"Y총물량";#N/A,#N/A,TRUE,"Y능력";#N/A,#N/A,TRUE,"YKD"}</definedName>
    <definedName name="물량조정" hidden="1">{#N/A,#N/A,TRUE,"Y생산";#N/A,#N/A,TRUE,"Y판매";#N/A,#N/A,TRUE,"Y총물량";#N/A,#N/A,TRUE,"Y능력";#N/A,#N/A,TRUE,"YKD"}</definedName>
    <definedName name="물수" hidden="1">{#N/A,#N/A,TRUE,"Y생산";#N/A,#N/A,TRUE,"Y판매";#N/A,#N/A,TRUE,"Y총물량";#N/A,#N/A,TRUE,"Y능력";#N/A,#N/A,TRUE,"YKD"}</definedName>
    <definedName name="뭐" hidden="1">{#N/A,#N/A,FALSE,"단가표지"}</definedName>
    <definedName name="뭐가이태원이야" hidden="1">{#N/A,#N/A,FALSE,"이태원철근"}</definedName>
    <definedName name="뭐야" hidden="1">{#N/A,#N/A,FALSE,"속도"}</definedName>
    <definedName name="뭐지" hidden="1">{"'Sheet1'!$A$4","'Sheet1'!$A$9:$G$28"}</definedName>
    <definedName name="뭐지도" hidden="1">{"'Sheet1'!$A$4","'Sheet1'!$A$9:$G$28"}</definedName>
    <definedName name="뮤" hidden="1">{#N/A,#N/A,FALSE,"단면 제원"}</definedName>
    <definedName name="므" hidden="1">{#N/A,#N/A,FALSE,"단면 제원"}</definedName>
    <definedName name="미" hidden="1">{#N/A,#N/A,FALSE,"단면 제원"}</definedName>
    <definedName name="미상주" hidden="1">{#N/A,#N/A,FALSE,"지침";#N/A,#N/A,FALSE,"환경분석";#N/A,#N/A,FALSE,"Sheet16"}</definedName>
    <definedName name="미정" hidden="1">{#N/A,#N/A,FALSE,"2~8번"}</definedName>
    <definedName name="미ㅏ어리ㅣ" hidden="1">{#N/A,#N/A,FALSE,"골재소요량";#N/A,#N/A,FALSE,"골재소요량"}</definedName>
    <definedName name="미ㅓㅇㄴ리" hidden="1">{#N/A,#N/A,FALSE,"운반시간"}</definedName>
    <definedName name="민어리ㅓ" hidden="1">{#N/A,#N/A,FALSE,"조골재"}</definedName>
    <definedName name="민원" hidden="1">{#N/A,#N/A,FALSE,"이태원철근"}</definedName>
    <definedName name="민원관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처리" hidden="1">{#N/A,#N/A,FALSE,"이태원철근"}</definedName>
    <definedName name="민원품의" hidden="1">{#N/A,#N/A,FALSE,"변경관리예산";#N/A,#N/A,FALSE,"변경장비예산";#N/A,#N/A,FALSE,"변경준설예산";#N/A,#N/A,FALSE,"변경철구예산"}</definedName>
    <definedName name="ㅂ" hidden="1">{#N/A,#N/A,TRUE,"토적및재료집계";#N/A,#N/A,TRUE,"토적및재료집계";#N/A,#N/A,TRUE,"단위량"}</definedName>
    <definedName name="ㅂ111" hidden="1">{"1단계 투자비명세",#N/A,FALSE,"투자비명세";"2단계 투자비명세",#N/A,FALSE,"투자비명세"}</definedName>
    <definedName name="ㅂ11112" hidden="1">{"개업비1",#N/A,FALSE,"개업비";"개업비2",#N/A,FALSE,"개업비";"개업비3",#N/A,FALSE,"개업비";"개업비4",#N/A,FALSE,"개업비"}</definedName>
    <definedName name="ㅂ12121" hidden="1">{"1단계공사비",#N/A,FALSE,"공사비";"2단계공사비",#N/A,FALSE,"공사비"}</definedName>
    <definedName name="ㅂ34ㅅ" hidden="1">{#N/A,#N/A,FALSE,"운반시간"}</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ㅇ" hidden="1">{#N/A,#N/A,FALSE,"표지목차"}</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ㄼㄱㅂㅈㄷㄱㅂㅈㄷㄱㅂㄼㅈㄷㄱㅂㅈㄱㅂㅈㄱㅂㅈㄱ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ㅁㅁㅂㅂㅂ" hidden="1">{"부대사업공정율",#N/A,FALSE,"배후단지 및 부대사업"}</definedName>
    <definedName name="ㅂㅁㅁㅋ" hidden="1">{"공업단지",#N/A,FALSE,"배후단지 및 부대사업"}</definedName>
    <definedName name="ㅂㅁㅂㅁ" hidden="1">{"개업비1",#N/A,FALSE,"개업비";"개업비2",#N/A,FALSE,"개업비";"개업비3",#N/A,FALSE,"개업비";"개업비4",#N/A,FALSE,"개업비"}</definedName>
    <definedName name="ㅂㅁㅂㅁㅂㅁㅂㅁㅂㅁ" hidden="1">{"'중기작업1'!$A$1:$V$18"}</definedName>
    <definedName name="ㅂㅂ" localSheetId="0" hidden="1">{#N/A,#N/A,TRUE,"단가표지"}</definedName>
    <definedName name="ㅂㅂ" hidden="1">#REF!</definedName>
    <definedName name="ㅂㅂ1" hidden="1">{"'Sheet1'!$A$4","'Sheet1'!$A$9:$G$28"}</definedName>
    <definedName name="ㅂㅂㅁ" hidden="1">{"'Sheet1'!$A$4","'Sheet1'!$A$9:$G$28"}</definedName>
    <definedName name="ㅂㅂㅂ" hidden="1">{#N/A,#N/A,FALSE,"2~8번"}</definedName>
    <definedName name="ㅂㅂㅂㅂ" hidden="1">{#N/A,#N/A,FALSE,"명세표"}</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ㅂ" hidden="1">{#N/A,#N/A,FALSE,"민감도"}</definedName>
    <definedName name="ㅂㅂㅂㅂㅂㅂㅂ" hidden="1">{#N/A,#N/A,FALSE,"명세표"}</definedName>
    <definedName name="ㅂㅂㅂㅂㅂㅂㅂㅂㅂ" hidden="1">{#N/A,#N/A,FALSE,"표지목차"}</definedName>
    <definedName name="ㅂㅇㄴㅂㅂ" hidden="1">{"배후단지",#N/A,FALSE,"배후단지 및 부대사업"}</definedName>
    <definedName name="ㅂㅈ" hidden="1">{#N/A,#N/A,FALSE,"2~8번"}</definedName>
    <definedName name="ㅂㅈㄱ" hidden="1">{#N/A,#N/A,FALSE,"부대1"}</definedName>
    <definedName name="ㅂㅈㄱㄷㅈㅂㄱㅈㄷㅂㄱ" hidden="1">{#N/A,#N/A,FALSE,"이정표"}</definedName>
    <definedName name="ㅂㅈㄷ" localSheetId="0" hidden="1">{#N/A,#N/A,FALSE,"골재소요량";#N/A,#N/A,FALSE,"골재소요량"}</definedName>
    <definedName name="ㅂㅈㄷ" hidden="1">{#N/A,#N/A,FALSE,"골재소요량";#N/A,#N/A,FALSE,"골재소요량"}</definedName>
    <definedName name="ㅂㅈㄷㄱㄱ" hidden="1">#REF!</definedName>
    <definedName name="ㅂㅈㄷㅈ" hidden="1">#REF!</definedName>
    <definedName name="ㅂㅈㅁㄴ" hidden="1">{"1단계공사비",#N/A,FALSE,"공사비";"2단계공사비",#N/A,FALSE,"공사비"}</definedName>
    <definedName name="ㅂㅈㅁㄴㅁ" hidden="1">{"대출금상환계획",#N/A,FALSE,"추정IS,CF,무상사용"}</definedName>
    <definedName name="ㅂㅈㅂ1212" hidden="1">{#N/A,#N/A,FALSE,"민감도"}</definedName>
    <definedName name="ㅂㅈㅂㅈ" hidden="1">{#N/A,#N/A,FALSE,"골재소요량";#N/A,#N/A,FALSE,"골재소요량"}</definedName>
    <definedName name="ㅂㅈㅂㅈㅁㄴㄴ" hidden="1">{"불변현금흐름",#N/A,FALSE,"추정IS,CF,무상사용"}</definedName>
    <definedName name="ㅂㅈㅂㅈㅂㅈㅂ" hidden="1">{"부대사업본사업연결자료",#N/A,FALSE,"배후단지및부대사업연결"}</definedName>
    <definedName name="ㅂㅈㅅㄷㅁㅇㄹㄴㅇㄻㄴㅇㄹ" hidden="1">{"총괄자금운영표",#N/A,FALSE,"자금운영표";"1단계자금운영표(불변)",#N/A,FALSE,"자금운영표";"2단계자금운영표(불변)",#N/A,FALSE,"자금운영표"}</definedName>
    <definedName name="ㅂㅈㅇㄹㅇㄹ" hidden="1">{"운영비용1",#N/A,FALSE,"운영비용";"운영비용2",#N/A,FALSE,"운영비용";"운영비용3",#N/A,FALSE,"운영비용";"운영비용4",#N/A,FALSE,"운영비용";"운영비용5",#N/A,FALSE,"운영비용";"운영비용6",#N/A,FALSE,"운영비용"}</definedName>
    <definedName name="ㅂㅈㅇㅁ" hidden="1">{"관광단지",#N/A,FALSE,"배후단지 및 부대사업"}</definedName>
    <definedName name="ㅂㅈㅈ" hidden="1">{#N/A,#N/A,FALSE,"운반시간"}</definedName>
    <definedName name="ㅂㅈㅈㅈㅈㅈㅈㅈㅈㅈㅈㅈㅈㅈㅈㅈㅈㅈㅈㅈㅈㅈㅈㅈㅈㅈㅈㅈㅈㅈㅈㅈㅈㅈㅈㅈ" hidden="1">#REF!</definedName>
    <definedName name="ㅂㅈㅊ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쟈ㅕㅑㅂ1" localSheetId="0" hidden="1">{#N/A,#N/A,FALSE,"배수1"}</definedName>
    <definedName name="ㅂ쟈ㅕㅑㅂ1" hidden="1">{#N/A,#N/A,FALSE,"배수1"}</definedName>
    <definedName name="ㅂㅋ" hidden="1">#REF!</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바바라" hidden="1">{#N/A,#N/A,TRUE,"Y생산";#N/A,#N/A,TRUE,"Y판매";#N/A,#N/A,TRUE,"Y총물량";#N/A,#N/A,TRUE,"Y능력";#N/A,#N/A,TRUE,"YKD"}</definedName>
    <definedName name="바보" hidden="1">{#N/A,#N/A,FALSE,"운반시간"}</definedName>
    <definedName name="바보야" hidden="1">{#N/A,#N/A,TRUE,"Y생산";#N/A,#N/A,TRUE,"Y판매";#N/A,#N/A,TRUE,"Y총물량";#N/A,#N/A,TRUE,"Y능력";#N/A,#N/A,TRUE,"YKD"}</definedName>
    <definedName name="바부" hidden="1">{"'용역비'!$A$4:$C$8"}</definedName>
    <definedName name="바붕" hidden="1">{#N/A,#N/A,FALSE,"전력간선"}</definedName>
    <definedName name="박" hidden="1">{#N/A,#N/A,FALSE,"명세표"}</definedName>
    <definedName name="박기현" hidden="1">{#N/A,#N/A,TRUE,"Y생산";#N/A,#N/A,TRUE,"Y판매";#N/A,#N/A,TRUE,"Y총물량";#N/A,#N/A,TRUE,"Y능력";#N/A,#N/A,TRUE,"YKD"}</definedName>
    <definedName name="박깅근" hidden="1">{#N/A,#N/A,FALSE,"표지목차"}</definedName>
    <definedName name="박명용" hidden="1">{#N/A,#N/A,TRUE,"Y생산";#N/A,#N/A,TRUE,"Y판매";#N/A,#N/A,TRUE,"Y총물량";#N/A,#N/A,TRUE,"Y능력";#N/A,#N/A,TRUE,"YKD"}</definedName>
    <definedName name="박성진" hidden="1">{#N/A,#N/A,TRUE,"총괄"}</definedName>
    <definedName name="박어쟈루" hidden="1">#REF!</definedName>
    <definedName name="박원흠" localSheetId="0" hidden="1">{#N/A,#N/A,FALSE,"현장 NCR 분석";#N/A,#N/A,FALSE,"현장품질감사";#N/A,#N/A,FALSE,"현장품질감사"}</definedName>
    <definedName name="박원흠" hidden="1">{#N/A,#N/A,FALSE,"현장 NCR 분석";#N/A,#N/A,FALSE,"현장품질감사";#N/A,#N/A,FALSE,"현장품질감사"}</definedName>
    <definedName name="받" hidden="1">{#N/A,#N/A,TRUE,"Y생산";#N/A,#N/A,TRUE,"Y판매";#N/A,#N/A,TRUE,"Y총물량";#N/A,#N/A,TRUE,"Y능력";#N/A,#N/A,TRUE,"YKD"}</definedName>
    <definedName name="발받침손료" hidden="1">#REF!</definedName>
    <definedName name="발주의뢰서1" hidden="1">{#N/A,#N/A,FALSE,"전력간선"}</definedName>
    <definedName name="방음벽" localSheetId="0" hidden="1">{#N/A,#N/A,FALSE,"2~8번"}</definedName>
    <definedName name="방음벽" hidden="1">{#N/A,#N/A,FALSE,"2~8번"}</definedName>
    <definedName name="방음벽1" localSheetId="0" hidden="1">{#N/A,#N/A,FALSE,"운반시간"}</definedName>
    <definedName name="방음벽1" hidden="1">{#N/A,#N/A,FALSE,"운반시간"}</definedName>
    <definedName name="배" localSheetId="0" hidden="1">{#N/A,#N/A,FALSE,"배수2"}</definedName>
    <definedName name="배" hidden="1">{#N/A,#N/A,FALSE,"현장 NCR 분석";#N/A,#N/A,FALSE,"현장품질감사";#N/A,#N/A,FALSE,"현장품질감사"}</definedName>
    <definedName name="배관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수" localSheetId="0" hidden="1">{#N/A,#N/A,FALSE,"배수1"}</definedName>
    <definedName name="배수" hidden="1">{#N/A,#N/A,FALSE,"배수1"}</definedName>
    <definedName name="배수.2" hidden="1">{#N/A,#N/A,FALSE,"배수1"}</definedName>
    <definedName name="배수.3" hidden="1">{#N/A,#N/A,FALSE,"배수1"}</definedName>
    <definedName name="배수공수량집계" hidden="1">{"'산출근거'!$B$4:$D$8"}</definedName>
    <definedName name="배수로" hidden="1">{"'중기작업1'!$A$1:$V$18"}</definedName>
    <definedName name="백승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버가" hidden="1">{#N/A,#N/A,FALSE,"96 3월물량표";#N/A,#N/A,FALSE,"96 4월물량표";#N/A,#N/A,FALSE,"96 5월물량표"}</definedName>
    <definedName name="벌" hidden="1">{#N/A,#N/A,FALSE,"전력간선"}</definedName>
    <definedName name="벽체" hidden="1">{#N/A,#N/A,FALSE,"혼합골재"}</definedName>
    <definedName name="벽체1" localSheetId="0" hidden="1">{#N/A,#N/A,FALSE,"혼합골재"}</definedName>
    <definedName name="벽체1" hidden="1">{#N/A,#N/A,FALSE,"혼합골재"}</definedName>
    <definedName name="변2" hidden="1">"전체현황"</definedName>
    <definedName name="변경" hidden="1">{#N/A,#N/A,FALSE,"현장 NCR 분석";#N/A,#N/A,FALSE,"현장품질감사";#N/A,#N/A,FALSE,"현장품질감사"}</definedName>
    <definedName name="변경_기초정산집계" hidden="1">#REF!</definedName>
    <definedName name="변경2" localSheetId="0" hidden="1">{"'경비표'!$A$1:$H$299","'경비표'!$G$174","'경비표'!$A$1:$H$1"}</definedName>
    <definedName name="변경2" hidden="1">{#N/A,#N/A,TRUE,"총괄"}</definedName>
    <definedName name="변경ㄴ내내내내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변경내역"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석축" hidden="1">{#N/A,#N/A,FALSE,"현장 NCR 분석";#N/A,#N/A,FALSE,"현장품질감사";#N/A,#N/A,FALSE,"현장품질감사"}</definedName>
    <definedName name="변경수량" hidden="1">{#N/A,#N/A,FALSE,"혼합골재"}</definedName>
    <definedName name="변경수량집계"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수량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실행금액" hidden="1">{#N/A,#N/A,FALSE,"전력간선"}</definedName>
    <definedName name="변경예정공정표" hidden="1">{"공업단지",#N/A,FALSE,"배후단지 및 부대사업"}</definedName>
    <definedName name="변경원가" hidden="1">#REF!</definedName>
    <definedName name="보고" hidden="1">{#N/A,#N/A,FALSE,"Sheet1"}</definedName>
    <definedName name="보도" hidden="1">{#N/A,#N/A,TRUE,"총괄"}</definedName>
    <definedName name="보령" hidden="1">{#N/A,#N/A,FALSE,"현장 NCR 분석";#N/A,#N/A,FALSE,"현장품질감사";#N/A,#N/A,FALSE,"현장품질감사"}</definedName>
    <definedName name="보링" hidden="1">{#N/A,#N/A,FALSE,"포장2"}</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증일반환산" hidden="1">#REF!</definedName>
    <definedName name="보할" hidden="1">{#N/A,#N/A,FALSE,"Sheet1"}</definedName>
    <definedName name="보할임" hidden="1">{#N/A,#N/A,FALSE,"Sheet1"}</definedName>
    <definedName name="보할입니다" hidden="1">{#N/A,#N/A,FALSE,"Sheet1"}</definedName>
    <definedName name="복구계획도2" hidden="1">{#N/A,#N/A,FALSE,"현장 NCR 분석";#N/A,#N/A,FALSE,"현장품질감사";#N/A,#N/A,FALSE,"현장품질감사"}</definedName>
    <definedName name="복구물량" hidden="1">{#N/A,#N/A,FALSE,"현장 NCR 분석";#N/A,#N/A,FALSE,"현장품질감사";#N/A,#N/A,FALSE,"현장품질감사"}</definedName>
    <definedName name="복구집게" hidden="1">#REF!</definedName>
    <definedName name="복사본"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복지" hidden="1">#REF!</definedName>
    <definedName name="본사용부" hidden="1">{#N/A,#N/A,FALSE,"포장1";#N/A,#N/A,FALSE,"포장1"}</definedName>
    <definedName name="본선부포장집계표" hidden="1">{#N/A,#N/A,FALSE,"2~8번"}</definedName>
    <definedName name="봉식결재란" hidden="1">{#N/A,#N/A,FALSE,"손익표지";#N/A,#N/A,FALSE,"손익계산";#N/A,#N/A,FALSE,"일반관리비";#N/A,#N/A,FALSE,"영업외수익";#N/A,#N/A,FALSE,"영업외비용";#N/A,#N/A,FALSE,"매출액";#N/A,#N/A,FALSE,"요약손익";#N/A,#N/A,FALSE,"요약대차";#N/A,#N/A,FALSE,"매출채권현황";#N/A,#N/A,FALSE,"매출채권명세"}</definedName>
    <definedName name="봉화교" hidden="1">{#N/A,#N/A,FALSE,"단면 제원"}</definedName>
    <definedName name="봉화육교" hidden="1">{#N/A,#N/A,FALSE,"단면 제원"}</definedName>
    <definedName name="부" localSheetId="0" hidden="1">{#N/A,#N/A,FALSE,"부대1"}</definedName>
    <definedName name="부" hidden="1">{#N/A,#N/A,FALSE,"부대1"}</definedName>
    <definedName name="부2" localSheetId="0" hidden="1">{#N/A,#N/A,FALSE,"부대2"}</definedName>
    <definedName name="부2" hidden="1">{#N/A,#N/A,FALSE,"부대2"}</definedName>
    <definedName name="부대" hidden="1">{#N/A,#N/A,FALSE,"부대2"}</definedName>
    <definedName name="부대1" hidden="1">{#N/A,#N/A,FALSE,"운반시간"}</definedName>
    <definedName name="부대a" localSheetId="0" hidden="1">{#N/A,#N/A,FALSE,"골재소요량";#N/A,#N/A,FALSE,"골재소요량"}</definedName>
    <definedName name="부대a" hidden="1">{#N/A,#N/A,FALSE,"골재소요량";#N/A,#N/A,FALSE,"골재소요량"}</definedName>
    <definedName name="부대건축2" hidden="1">#REF!</definedName>
    <definedName name="부대공사" hidden="1">#REF!</definedName>
    <definedName name="부대공총괄수량집계" hidden="1">{#N/A,#N/A,FALSE,"2~8번"}</definedName>
    <definedName name="부대공표지" hidden="1">{#N/A,#N/A,FALSE,"단가표지"}</definedName>
    <definedName name="부대구조" localSheetId="0" hidden="1">{#N/A,#N/A,FALSE,"골재소요량";#N/A,#N/A,FALSE,"골재소요량"}</definedName>
    <definedName name="부대구조" hidden="1">{#N/A,#N/A,FALSE,"골재소요량";#N/A,#N/A,FALSE,"골재소요량"}</definedName>
    <definedName name="부대방안" localSheetId="0" hidden="1">{#N/A,#N/A,FALSE,"단가표지"}</definedName>
    <definedName name="부대방안" hidden="1">{#N/A,#N/A,FALSE,"단가표지"}</definedName>
    <definedName name="부대원가" hidden="1">{#N/A,#N/A,FALSE,"배수2"}</definedName>
    <definedName name="부대원본" localSheetId="0" hidden="1">{#N/A,#N/A,FALSE,"토공2"}</definedName>
    <definedName name="부대원본" hidden="1">{#N/A,#N/A,FALSE,"토공2"}</definedName>
    <definedName name="부대입찰서류작성" hidden="1">#REF!</definedName>
    <definedName name="부대철콘" hidden="1">{#N/A,#N/A,FALSE,"골재소요량";#N/A,#N/A,FALSE,"골재소요량"}</definedName>
    <definedName name="부성" hidden="1">{#N/A,#N/A,FALSE,"현장 NCR 분석";#N/A,#N/A,FALSE,"현장품질감사";#N/A,#N/A,FALSE,"현장품질감사"}</definedName>
    <definedName name="부성전기" hidden="1">{#N/A,#N/A,FALSE,"현장 NCR 분석";#N/A,#N/A,FALSE,"현장품질감사";#N/A,#N/A,FALSE,"현장품질감사"}</definedName>
    <definedName name="부손익" localSheetId="0" hidden="1">{#N/A,#N/A,FALSE,"현장 NCR 분석";#N/A,#N/A,FALSE,"현장품질감사";#N/A,#N/A,FALSE,"현장품질감사"}</definedName>
    <definedName name="부손익" hidden="1">{#N/A,#N/A,FALSE,"현장 NCR 분석";#N/A,#N/A,FALSE,"현장품질감사";#N/A,#N/A,FALSE,"현장품질감사"}</definedName>
    <definedName name="부전지" hidden="1">#REF!</definedName>
    <definedName name="분" hidden="1">{#N/A,#N/A,FALSE,"이태원철근"}</definedName>
    <definedName name="분기별" hidden="1">{#N/A,#N/A,TRUE,"Y생산";#N/A,#N/A,TRUE,"Y판매";#N/A,#N/A,TRUE,"Y총물량";#N/A,#N/A,TRUE,"Y능력";#N/A,#N/A,TRUE,"YKD"}</definedName>
    <definedName name="분당" hidden="1">{#N/A,#N/A,FALSE,"전력간선"}</definedName>
    <definedName name="분당공" hidden="1">#REF!</definedName>
    <definedName name="분당내역서" hidden="1">#REF!</definedName>
    <definedName name="분당물가" hidden="1">#REF!</definedName>
    <definedName name="분당코아" hidden="1">#REF!</definedName>
    <definedName name="분당협조" hidden="1">{#N/A,#N/A,FALSE,"이태원철근"}</definedName>
    <definedName name="분석변경" hidden="1">{#N/A,#N/A,FALSE,"변경관리예산";#N/A,#N/A,FALSE,"변경장비예산";#N/A,#N/A,FALSE,"변경준설예산";#N/A,#N/A,FALSE,"변경철구예산"}</definedName>
    <definedName name="분야별공사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분양내역" hidden="1">{#N/A,#N/A,FALSE,"현장 NCR 분석";#N/A,#N/A,FALSE,"현장품질감사";#N/A,#N/A,FALSE,"현장품질감사"}</definedName>
    <definedName name="분전반제조총괄표" localSheetId="0" hidden="1">{"'건축내역'!$A$1:$L$413"}</definedName>
    <definedName name="분전반제조총괄표" hidden="1">{"'건축내역'!$A$1:$L$413"}</definedName>
    <definedName name="분할" hidden="1">#REF!</definedName>
    <definedName name="붕" hidden="1">#REF!</definedName>
    <definedName name="붙임1" hidden="1">{#N/A,#N/A,FALSE,"현장 NCR 분석";#N/A,#N/A,FALSE,"현장품질감사";#N/A,#N/A,FALSE,"현장품질감사"}</definedName>
    <definedName name="붙임자료" localSheetId="0" hidden="1">{"'정산내역서'!$A$1:$I$35","'정산서(절.성토부)'!$A$1:$Q$17","'정산서(교량부)'!$A$1:$Q$84","'총괄표'!$A$1:$M$12","'시행현황'!$A$1:$G$12","'표지'!$A$1:$N$27","'정산서(절.성토부)'!$A$3:$Q$7"}</definedName>
    <definedName name="붙임자료" hidden="1">{"'정산내역서'!$A$1:$I$35","'정산서(절.성토부)'!$A$1:$Q$17","'정산서(교량부)'!$A$1:$Q$84","'총괄표'!$A$1:$M$12","'시행현황'!$A$1:$G$12","'표지'!$A$1:$N$27","'정산서(절.성토부)'!$A$3:$Q$7"}</definedName>
    <definedName name="블라인더"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비고" hidden="1">{#N/A,#N/A,FALSE,"구조2"}</definedName>
    <definedName name="비교" localSheetId="0" hidden="1">{#N/A,#N/A,FALSE,"신청통보";#N/A,#N/A,FALSE,"기성확인서";#N/A,#N/A,FALSE,"기성내역서"}</definedName>
    <definedName name="비교" hidden="1">255</definedName>
    <definedName name="비교용" hidden="1">{#N/A,#N/A,FALSE,"포장2"}</definedName>
    <definedName name="비교표1" hidden="1">255</definedName>
    <definedName name="비교표2" hidden="1">#REF!</definedName>
    <definedName name="비닐" hidden="1">{#N/A,#N/A,FALSE,"2~8번"}</definedName>
    <definedName name="빙" hidden="1">{#N/A,#N/A,FALSE,"견적갑지";#N/A,#N/A,FALSE,"총괄표";#N/A,#N/A,FALSE,"철골공사";#N/A,#N/A,FALSE,"토목공사";#N/A,#N/A,FALSE,"판넬전기공사"}</definedName>
    <definedName name="빙추" hidden="1">{#N/A,#N/A,FALSE,"견적갑지";#N/A,#N/A,FALSE,"총괄표";#N/A,#N/A,FALSE,"철골공사";#N/A,#N/A,FALSE,"토목공사";#N/A,#N/A,FALSE,"판넬전기공사"}</definedName>
    <definedName name="빙축열" hidden="1">{#N/A,#N/A,FALSE,"견적갑지";#N/A,#N/A,FALSE,"총괄표";#N/A,#N/A,FALSE,"철골공사";#N/A,#N/A,FALSE,"토목공사";#N/A,#N/A,FALSE,"판넬전기공사"}</definedName>
    <definedName name="빙축열주요자재" hidden="1">{#N/A,#N/A,FALSE,"견적갑지";#N/A,#N/A,FALSE,"총괄표";#N/A,#N/A,FALSE,"철골공사";#N/A,#N/A,FALSE,"토목공사";#N/A,#N/A,FALSE,"판넬전기공사"}</definedName>
    <definedName name="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{#N/A,#N/A,TRUE,"토적및재료집계";#N/A,#N/A,TRUE,"토적및재료집계";#N/A,#N/A,TRUE,"단위량"}</definedName>
    <definedName name="ㅅ.." hidden="1">{#N/A,#N/A,FALSE,"골재소요량";#N/A,#N/A,FALSE,"골재소요량"}</definedName>
    <definedName name="ㅅㄱ" hidden="1">{#N/A,#N/A,FALSE,"2~8번"}</definedName>
    <definedName name="ㅅㄱㄷㅎ" hidden="1">#N/A</definedName>
    <definedName name="ㅅㄱ도ㅔㅐㅑ" hidden="1">{#N/A,#N/A,FALSE,"단가표지"}</definedName>
    <definedName name="ㅅ곳ㄴ고" hidden="1">{#N/A,#N/A,FALSE,"2~8번"}</definedName>
    <definedName name="ㅅ굲유" hidden="1">{#N/A,#N/A,FALSE,"조골재"}</definedName>
    <definedName name="ㅅㄳ" hidden="1">{#N/A,#N/A,FALSE,"골재소요량";#N/A,#N/A,FALSE,"골재소요량"}</definedName>
    <definedName name="ㅅㄷㄱ" hidden="1">{#N/A,#N/A,FALSE,"손익표지";#N/A,#N/A,FALSE,"손익계산";#N/A,#N/A,FALSE,"일반관리비";#N/A,#N/A,FALSE,"영업외수익";#N/A,#N/A,FALSE,"영업외비용";#N/A,#N/A,FALSE,"매출액";#N/A,#N/A,FALSE,"요약손익";#N/A,#N/A,FALSE,"요약대차";#N/A,#N/A,FALSE,"매출채권현황";#N/A,#N/A,FALSE,"매출채권명세"}</definedName>
    <definedName name="ㅅㄷㄳㅈㄷㄱ" hidden="1">#REF!</definedName>
    <definedName name="ㅅㅅ" hidden="1">{#N/A,#N/A,TRUE,"토적및재료집계";#N/A,#N/A,TRUE,"토적및재료집계";#N/A,#N/A,TRUE,"단위량"}</definedName>
    <definedName name="ㅅㅅㄱ" hidden="1">{#N/A,#N/A,FALSE,"2~8번"}</definedName>
    <definedName name="ㅅㅅㄱㄱㄱ" hidden="1">{"부대사업공정율",#N/A,FALSE,"배후단지 및 부대사업"}</definedName>
    <definedName name="ㅅㅅㅅ" hidden="1">{#N/A,#N/A,FALSE,"2~8번"}</definedName>
    <definedName name="ㅅㅅㅅㅅ" hidden="1">{#N/A,#N/A,FALSE,"2~8번"}</definedName>
    <definedName name="ㅅㅅㅅㅅㅅ" hidden="1">{#N/A,#N/A,FALSE,"골재소요량";#N/A,#N/A,FALSE,"골재소요량"}</definedName>
    <definedName name="ㅅㅅㅅㅅㅅㅅㅅ" hidden="1">{#N/A,#N/A,FALSE,"골재소요량";#N/A,#N/A,FALSE,"골재소요량"}</definedName>
    <definedName name="ㅅㅅㅅㅅㅅㅅㅅㅅㅅㅅ" hidden="1">{"'Sheet1'!$A$4","'Sheet1'!$A$9:$G$28"}</definedName>
    <definedName name="ㅅㅅㅅㅅㅅㅅㅅㅅㅅㅅㅅ" hidden="1">{#N/A,#N/A,FALSE,"골재소요량";#N/A,#N/A,FALSE,"골재소요량"}</definedName>
    <definedName name="ㅅ소소소솟" hidden="1">{"장비보유1",#N/A,FALSE,"장비보유현황";"장비보유2",#N/A,FALSE,"장비보유현황"}</definedName>
    <definedName name="ㅅ여ㅛ윣ㄴ" hidden="1">{#N/A,#N/A,FALSE,"조골재"}</definedName>
    <definedName name="ㅅ융ㄴㄳ" hidden="1">{#N/A,#N/A,FALSE,"조골재"}</definedName>
    <definedName name="ㅅㅈㅅㄱㄷㅂ" hidden="1">#REF!</definedName>
    <definedName name="ㅅㅎㄱㄷㅅㄷㄱ" hidden="1">{#N/A,#N/A,FALSE,"표지목차"}</definedName>
    <definedName name="ㅅㅎ공ㅋ" hidden="1">{#N/A,#N/A,FALSE,"단가표지"}</definedName>
    <definedName name="사" hidden="1">#REF!</definedName>
    <definedName name="사고뭉치" hidden="1">{#N/A,#N/A,FALSE,"96 3월물량표";#N/A,#N/A,FALSE,"96 4월물량표";#N/A,#N/A,FALSE,"96 5월물량표"}</definedName>
    <definedName name="사구러" hidden="1">{#N/A,#N/A,FALSE,"현장 NCR 분석";#N/A,#N/A,FALSE,"현장품질감사";#N/A,#N/A,FALSE,"현장품질감사"}</definedName>
    <definedName name="사급" hidden="1">{#N/A,#N/A,FALSE,"배수2"}</definedName>
    <definedName name="사랑" localSheetId="0" hidden="1">#REF!</definedName>
    <definedName name="사랑" hidden="1">{#N/A,#N/A,FALSE,"현장 NCR 분석";#N/A,#N/A,FALSE,"현장품질감사";#N/A,#N/A,FALSE,"현장품질감사"}</definedName>
    <definedName name="사랑하나로" hidden="1">1</definedName>
    <definedName name="사방품셈1" hidden="1">#REF!</definedName>
    <definedName name="사방품셈별표" hidden="1">#REF!</definedName>
    <definedName name="사석채움면적산출" hidden="1">{#N/A,#N/A,FALSE,"2~8번"}</definedName>
    <definedName name="사진" hidden="1">{#N/A,#N/A,FALSE,"단축1";#N/A,#N/A,FALSE,"단축2";#N/A,#N/A,FALSE,"단축3";#N/A,#N/A,FALSE,"장축";#N/A,#N/A,FALSE,"4WD"}</definedName>
    <definedName name="사진1" hidden="1">{#N/A,#N/A,FALSE,"단축1";#N/A,#N/A,FALSE,"단축2";#N/A,#N/A,FALSE,"단축3";#N/A,#N/A,FALSE,"장축";#N/A,#N/A,FALSE,"4WD"}</definedName>
    <definedName name="사진대지1" hidden="1">#REF!</definedName>
    <definedName name="산" hidden="1">{"'Sheet1'!$A$4","'Sheet1'!$A$9:$G$28"}</definedName>
    <definedName name="산근5" hidden="1">{#N/A,#N/A,FALSE,"현장 NCR 분석";#N/A,#N/A,FALSE,"현장품질감사";#N/A,#N/A,FALSE,"현장품질감사"}</definedName>
    <definedName name="산남" hidden="1">{#N/A,#N/A,FALSE,"Sheet1"}</definedName>
    <definedName name="산사" hidden="1">{#N/A,#N/A,FALSE,"지침";#N/A,#N/A,FALSE,"환경분석";#N/A,#N/A,FALSE,"Sheet16"}</definedName>
    <definedName name="산출근거3" hidden="1">{#N/A,#N/A,FALSE,"부대2"}</definedName>
    <definedName name="산출내역2안" hidden="1">{#N/A,#N/A,FALSE,"부대2"}</definedName>
    <definedName name="삼락" hidden="1">{#N/A,#N/A,FALSE,"현장 NCR 분석";#N/A,#N/A,FALSE,"현장품질감사";#N/A,#N/A,FALSE,"현장품질감사"}</definedName>
    <definedName name="삼락1" hidden="1">{#N/A,#N/A,FALSE,"현장 NCR 분석";#N/A,#N/A,FALSE,"현장품질감사";#N/A,#N/A,FALSE,"현장품질감사"}</definedName>
    <definedName name="삼마루현황" hidden="1">#REF!</definedName>
    <definedName name="삼성" hidden="1">{#N/A,#N/A,FALSE,"정공"}</definedName>
    <definedName name="삼성2" hidden="1">{#N/A,#N/A,FALSE,"전력간선"}</definedName>
    <definedName name="삼성22" hidden="1">{#N/A,#N/A,FALSE,"전력간선"}</definedName>
    <definedName name="삼성중00301" hidden="1">{#N/A,#N/A,FALSE,"현장 NCR 분석";#N/A,#N/A,FALSE,"현장품질감사";#N/A,#N/A,FALSE,"현장품질감사"}</definedName>
    <definedName name="삼성중0304" hidden="1">{#N/A,#N/A,FALSE,"현장 NCR 분석";#N/A,#N/A,FALSE,"현장품질감사";#N/A,#N/A,FALSE,"현장품질감사"}</definedName>
    <definedName name="삼수내역" hidden="1">{#N/A,#N/A,FALSE,"현장 NCR 분석";#N/A,#N/A,FALSE,"현장품질감사";#N/A,#N/A,FALSE,"현장품질감사"}</definedName>
    <definedName name="삼혁색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혁색상구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호" hidden="1">{#N/A,#N/A,FALSE,"배수2"}</definedName>
    <definedName name="삽입" hidden="1">{#N/A,#N/A,FALSE,"현장 NCR 분석";#N/A,#N/A,FALSE,"현장품질감사";#N/A,#N/A,FALSE,"현장품질감사"}</definedName>
    <definedName name="상대" hidden="1">#REF!</definedName>
    <definedName name="상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상봉" hidden="1">{#N/A,#N/A,FALSE,"현장 NCR 분석";#N/A,#N/A,FALSE,"현장품질감사";#N/A,#N/A,FALSE,"현장품질감사"}</definedName>
    <definedName name="상봉2" hidden="1">{#N/A,#N/A,FALSE,"현장 NCR 분석";#N/A,#N/A,FALSE,"현장품질감사";#N/A,#N/A,FALSE,"현장품질감사"}</definedName>
    <definedName name="상봉구" hidden="1">{#N/A,#N/A,FALSE,"현장 NCR 분석";#N/A,#N/A,FALSE,"현장품질감사";#N/A,#N/A,FALSE,"현장품질감사"}</definedName>
    <definedName name="상주" localSheetId="0" hidden="1">{#N/A,#N/A,FALSE,"지침";#N/A,#N/A,FALSE,"환경분석";#N/A,#N/A,FALSE,"Sheet16"}</definedName>
    <definedName name="상주" hidden="1">{#N/A,#N/A,FALSE,"지침";#N/A,#N/A,FALSE,"환경분석";#N/A,#N/A,FALSE,"Sheet16"}</definedName>
    <definedName name="상주감독" hidden="1">{#N/A,#N/A,FALSE,"지침";#N/A,#N/A,FALSE,"환경분석";#N/A,#N/A,FALSE,"Sheet16"}</definedName>
    <definedName name="상주감리" localSheetId="0" hidden="1">{#N/A,#N/A,FALSE,"지침";#N/A,#N/A,FALSE,"환경분석";#N/A,#N/A,FALSE,"Sheet16"}</definedName>
    <definedName name="상주감리" hidden="1">{#N/A,#N/A,FALSE,"지침";#N/A,#N/A,FALSE,"환경분석";#N/A,#N/A,FALSE,"Sheet16"}</definedName>
    <definedName name="상품" hidden="1">#REF!</definedName>
    <definedName name="새" hidden="1">{#N/A,#N/A,FALSE,"현장 NCR 분석";#N/A,#N/A,FALSE,"현장품질감사";#N/A,#N/A,FALSE,"현장품질감사"}</definedName>
    <definedName name="새공통" hidden="1">{#N/A,#N/A,FALSE,"이태원철근"}</definedName>
    <definedName name="새로만등" hidden="1">{"1단계 투자비명세",#N/A,FALSE,"투자비명세";"2단계 투자비명세",#N/A,FALSE,"투자비명세"}</definedName>
    <definedName name="새만득이" hidden="1">{#N/A,#N/A,FALSE,"2~8번"}</definedName>
    <definedName name="새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새이름" hidden="1">#REF!</definedName>
    <definedName name="새천년" hidden="1">{#N/A,#N/A,TRUE,"Y생산";#N/A,#N/A,TRUE,"Y판매";#N/A,#N/A,TRUE,"Y총물량";#N/A,#N/A,TRUE,"Y능력";#N/A,#N/A,TRUE,"YKD"}</definedName>
    <definedName name="색상구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생기양식" hidden="1">{#N/A,#N/A,TRUE,"Y생산";#N/A,#N/A,TRUE,"Y판매";#N/A,#N/A,TRUE,"Y총물량";#N/A,#N/A,TRUE,"Y능력";#N/A,#N/A,TRUE,"YKD"}</definedName>
    <definedName name="생산" hidden="1">{#N/A,#N/A,TRUE,"Y생산";#N/A,#N/A,TRUE,"Y판매";#N/A,#N/A,TRUE,"Y총물량";#N/A,#N/A,TRUE,"Y능력";#N/A,#N/A,TRUE,"YKD"}</definedName>
    <definedName name="생산TON" hidden="1">{#N/A,#N/A,TRUE,"Y생산";#N/A,#N/A,TRUE,"Y판매";#N/A,#N/A,TRUE,"Y총물량";#N/A,#N/A,TRUE,"Y능력";#N/A,#N/A,TRUE,"YKD"}</definedName>
    <definedName name="생산성향상" hidden="1">{#N/A,#N/A,TRUE,"Y생산";#N/A,#N/A,TRUE,"Y판매";#N/A,#N/A,TRUE,"Y총물량";#N/A,#N/A,TRUE,"Y능력";#N/A,#N/A,TRUE,"YKD"}</definedName>
    <definedName name="생산특장2" hidden="1">{#N/A,#N/A,TRUE,"Y생산";#N/A,#N/A,TRUE,"Y판매";#N/A,#N/A,TRUE,"Y총물량";#N/A,#N/A,TRUE,"Y능력";#N/A,#N/A,TRUE,"YKD"}</definedName>
    <definedName name="생산합격" hidden="1">{#N/A,#N/A,TRUE,"Y생산";#N/A,#N/A,TRUE,"Y판매";#N/A,#N/A,TRUE,"Y총물량";#N/A,#N/A,TRUE,"Y능력";#N/A,#N/A,TRUE,"YKD"}</definedName>
    <definedName name="샤ㅏ"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 hidden="1">{#N/A,#N/A,FALSE,"토공2"}</definedName>
    <definedName name="석" hidden="1">{#N/A,#N/A,FALSE,"지침";#N/A,#N/A,FALSE,"환경분석";#N/A,#N/A,FALSE,"Sheet16"}</definedName>
    <definedName name="석재받은의뢰업체" hidden="1">255</definedName>
    <definedName name="석축물량" hidden="1">{#N/A,#N/A,FALSE,"현장 NCR 분석";#N/A,#N/A,FALSE,"현장품질감사";#N/A,#N/A,FALSE,"현장품질감사"}</definedName>
    <definedName name="석항" hidden="1">{#N/A,#N/A,FALSE,"명세표"}</definedName>
    <definedName name="선금" localSheetId="0" hidden="1">{#N/A,#N/A,FALSE,"현장 NCR 분석";#N/A,#N/A,FALSE,"현장품질감사";#N/A,#N/A,FALSE,"현장품질감사"}</definedName>
    <definedName name="선금" hidden="1">{#N/A,#N/A,FALSE,"현장 NCR 분석";#N/A,#N/A,FALSE,"현장품질감사";#N/A,#N/A,FALSE,"현장품질감사"}</definedName>
    <definedName name="선양" hidden="1">#REF!</definedName>
    <definedName name="선정팬111" hidden="1">{#N/A,#N/A,TRUE,"부하계산서표지";#N/A,#N/A,TRUE,"1. 부하계산";#N/A,#N/A,TRUE,"1-1.부하계산기준";#N/A,#N/A,TRUE,"1-2.부하계산";#N/A,#N/A,TRUE,"1-3부하집계"}</definedName>
    <definedName name="설계" hidden="1">{#N/A,#N/A,FALSE,"전력간선"}</definedName>
    <definedName name="설계내역서" hidden="1">{"'별표'!$N$220"}</definedName>
    <definedName name="설계변경1" hidden="1">{#N/A,#N/A,FALSE,"현장 NCR 분석";#N/A,#N/A,FALSE,"현장품질감사";#N/A,#N/A,FALSE,"현장품질감사"}</definedName>
    <definedName name="설계서r" hidden="1">#REF!</definedName>
    <definedName name="설계설명" hidden="1">#REF!</definedName>
    <definedName name="설계설명서2" localSheetId="0" hidden="1">{#N/A,#N/A,FALSE,"전력간선"}</definedName>
    <definedName name="설계설명서2" hidden="1">{#N/A,#N/A,FALSE,"전력간선"}</definedName>
    <definedName name="설계설명서3" localSheetId="0" hidden="1">{#N/A,#N/A,FALSE,"전력간선"}</definedName>
    <definedName name="설계설명서3" hidden="1">{#N/A,#N/A,FALSE,"전력간선"}</definedName>
    <definedName name="설계설명서4" localSheetId="0" hidden="1">{#N/A,#N/A,FALSE,"전력간선"}</definedName>
    <definedName name="설계설명서4" hidden="1">{#N/A,#N/A,FALSE,"전력간선"}</definedName>
    <definedName name="설내2" hidden="1">{#N/A,#N/A,TRUE,"총괄"}</definedName>
    <definedName name="설명" hidden="1">{#N/A,#N/A,FALSE,"부대1"}</definedName>
    <definedName name="설명서" hidden="1">{#N/A,#N/A,FALSE,"포장1";#N/A,#N/A,FALSE,"포장1"}</definedName>
    <definedName name="설비" localSheetId="0" hidden="1">{#N/A,#N/A,FALSE,"갑지";#N/A,#N/A,FALSE,"개요";#N/A,#N/A,FALSE,"비목별";#N/A,#N/A,FALSE,"건물별";#N/A,#N/A,FALSE,"기구표";#N/A,#N/A,FALSE,"직원투입"}</definedName>
    <definedName name="설비" hidden="1">{#N/A,#N/A,FALSE,"견적갑지";#N/A,#N/A,FALSE,"총괄표";#N/A,#N/A,FALSE,"철골공사";#N/A,#N/A,FALSE,"토목공사";#N/A,#N/A,FALSE,"판넬전기공사"}</definedName>
    <definedName name="성근" hidden="1">{#N/A,#N/A,FALSE,"포장2"}</definedName>
    <definedName name="성실한" hidden="1">{#N/A,#N/A,FALSE,"현장 NCR 분석";#N/A,#N/A,FALSE,"현장품질감사";#N/A,#N/A,FALSE,"현장품질감사"}</definedName>
    <definedName name="성운" hidden="1">{"'Firr(선)'!$AS$1:$AY$62","'Firr(사)'!$AS$1:$AY$62","'Firr(회)'!$AS$1:$AY$62","'Firr(선)'!$L$1:$V$62","'Firr(사)'!$L$1:$V$62","'Firr(회)'!$L$1:$V$62"}</definedName>
    <definedName name="성일건설" hidden="1">{#N/A,#N/A,FALSE,"현장 NCR 분석";#N/A,#N/A,FALSE,"현장품질감사";#N/A,#N/A,FALSE,"현장품질감사"}</definedName>
    <definedName name="성토과재" hidden="1">{#N/A,#N/A,FALSE,"조골재"}</definedName>
    <definedName name="세로" hidden="1">{#N/A,#N/A,FALSE,"전력간선"}</definedName>
    <definedName name="세륜세차" hidden="1">#REF!</definedName>
    <definedName name="세부생산계획" hidden="1">{#N/A,#N/A,TRUE,"Y생산";#N/A,#N/A,TRUE,"Y판매";#N/A,#N/A,TRUE,"Y총물량";#N/A,#N/A,TRUE,"Y능력";#N/A,#N/A,TRUE,"YKD"}</definedName>
    <definedName name="세부일정" hidden="1">{#N/A,#N/A,FALSE,"단축1";#N/A,#N/A,FALSE,"단축2";#N/A,#N/A,FALSE,"단축3";#N/A,#N/A,FALSE,"장축";#N/A,#N/A,FALSE,"4WD"}</definedName>
    <definedName name="세부일정.1" hidden="1">{#N/A,#N/A,FALSE,"단축1";#N/A,#N/A,FALSE,"단축2";#N/A,#N/A,FALSE,"단축3";#N/A,#N/A,FALSE,"장축";#N/A,#N/A,FALSE,"4WD"}</definedName>
    <definedName name="셔ㅛ" localSheetId="0" hidden="1">{#N/A,#N/A,FALSE,"운반시간"}</definedName>
    <definedName name="셔ㅛ" hidden="1">{#N/A,#N/A,FALSE,"운반시간"}</definedName>
    <definedName name="셧" hidden="1">{#N/A,#N/A,FALSE,"운반시간"}</definedName>
    <definedName name="소방" hidden="1">{"SJ - 기본 보기",#N/A,FALSE,"공사별 외주견적"}</definedName>
    <definedName name="소방1" hidden="1">{#N/A,#N/A,FALSE,"UNIT";#N/A,#N/A,FALSE,"UNIT";#N/A,#N/A,FALSE,"계정"}</definedName>
    <definedName name="소방집계" hidden="1">{#N/A,#N/A,FALSE,"갑지";#N/A,#N/A,FALSE,"개요";#N/A,#N/A,FALSE,"비목별";#N/A,#N/A,FALSE,"건물별";#N/A,#N/A,FALSE,"기구표";#N/A,#N/A,FALSE,"직원투입"}</definedName>
    <definedName name="소방집계표" hidden="1">{#N/A,#N/A,FALSE,"갑지";#N/A,#N/A,FALSE,"개요";#N/A,#N/A,FALSE,"비목별";#N/A,#N/A,FALSE,"건물별";#N/A,#N/A,FALSE,"기구표";#N/A,#N/A,FALSE,"직원투입"}</definedName>
    <definedName name="소보" hidden="1">{#N/A,#N/A,FALSE,"포장단가"}</definedName>
    <definedName name="소비자" hidden="1">{#N/A,#N/A,FALSE,"현장 NCR 분석";#N/A,#N/A,FALSE,"현장품질감사";#N/A,#N/A,FALSE,"현장품질감사"}</definedName>
    <definedName name="소소소소소솟" hidden="1">{"장비보유",#N/A,FALSE,"장비소요"}</definedName>
    <definedName name="소소소솟" hidden="1">{"총괄자금운영표",#N/A,FALSE,"자금운영표";"1단계자금운영표(불변)",#N/A,FALSE,"자금운영표";"2단계자금운영표(불변)",#N/A,FALSE,"자금운영표"}</definedName>
    <definedName name="소솟" hidden="1">{"운영수익1",#N/A,FALSE,"운영수익";"운영수익2",#N/A,FALSE,"운영수익";"운영수익3",#N/A,FALSE,"운영수익"}</definedName>
    <definedName name="소수2" hidden="1">{#N/A,#N/A,FALSE,"속도"}</definedName>
    <definedName name="소수2교A2" hidden="1">{#N/A,#N/A,FALSE,"운반시간"}</definedName>
    <definedName name="소요물자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소포장" hidden="1">{#N/A,#N/A,FALSE,"견적갑지";#N/A,#N/A,FALSE,"총괄표";#N/A,#N/A,FALSE,"철골공사";#N/A,#N/A,FALSE,"토목공사";#N/A,#N/A,FALSE,"판넬전기공사"}</definedName>
    <definedName name="소포장설비" hidden="1">{#N/A,#N/A,FALSE,"견적갑지";#N/A,#N/A,FALSE,"총괄표";#N/A,#N/A,FALSE,"철골공사";#N/A,#N/A,FALSE,"토목공사";#N/A,#N/A,FALSE,"판넬전기공사"}</definedName>
    <definedName name="소화갑지" localSheetId="0" hidden="1">{#N/A,#N/A,FALSE,"CCTV"}</definedName>
    <definedName name="소화갑지" hidden="1">{#N/A,#N/A,FALSE,"CCTV"}</definedName>
    <definedName name="소화수금계획" hidden="1">{#N/A,#N/A,FALSE,"Sheet1"}</definedName>
    <definedName name="소화주철장판" hidden="1">{#N/A,#N/A,FALSE,"단축1";#N/A,#N/A,FALSE,"단축2";#N/A,#N/A,FALSE,"단축3";#N/A,#N/A,FALSE,"장축";#N/A,#N/A,FALSE,"4WD"}</definedName>
    <definedName name="속" localSheetId="0" hidden="1">{#N/A,#N/A,FALSE,"속도"}</definedName>
    <definedName name="속" hidden="1">{#N/A,#N/A,FALSE,"속도"}</definedName>
    <definedName name="속초" hidden="1">{#N/A,#N/A,FALSE,"현장 NCR 분석";#N/A,#N/A,FALSE,"현장품질감사";#N/A,#N/A,FALSE,"현장품질감사"}</definedName>
    <definedName name="손영주" localSheetId="0" hidden="1">{#N/A,#N/A,FALSE,"조골재"}</definedName>
    <definedName name="손영주" hidden="1">{#N/A,#N/A,FALSE,"조골재"}</definedName>
    <definedName name="손익3" hidden="1">{#N/A,#N/A,FALSE,"UNIT";#N/A,#N/A,FALSE,"UNIT";#N/A,#N/A,FALSE,"계정"}</definedName>
    <definedName name="송" hidden="1">{#N/A,#N/A,TRUE,"Y생산";#N/A,#N/A,TRUE,"Y판매";#N/A,#N/A,TRUE,"Y총물량";#N/A,#N/A,TRUE,"Y능력";#N/A,#N/A,TRUE,"YKD"}</definedName>
    <definedName name="송권용" hidden="1">{#N/A,#N/A,FALSE,"Sheet1"}</definedName>
    <definedName name="송전산출" hidden="1">{#N/A,#N/A,FALSE,"현장 NCR 분석";#N/A,#N/A,FALSE,"현장품질감사";#N/A,#N/A,FALSE,"현장품질감사"}</definedName>
    <definedName name="송창기" hidden="1">{#N/A,#N/A,TRUE,"Y생산";#N/A,#N/A,TRUE,"Y판매";#N/A,#N/A,TRUE,"Y총물량";#N/A,#N/A,TRUE,"Y능력";#N/A,#N/A,TRUE,"YKD"}</definedName>
    <definedName name="송탄" hidden="1">{#N/A,#N/A,FALSE,"현장 NCR 분석";#N/A,#N/A,FALSE,"현장품질감사";#N/A,#N/A,FALSE,"현장품질감사"}</definedName>
    <definedName name="쇼ㅑ" hidden="1">{#N/A,#N/A,FALSE,"부대2"}</definedName>
    <definedName name="쇼ㅓ"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쇼ㅕ77" hidden="1">#REF!</definedName>
    <definedName name="쇼ㅗ솟" hidden="1">{"운영설비비1",#N/A,FALSE,"운영설비비";"운영설비비2",#N/A,FALSE,"운영설비비"}</definedName>
    <definedName name="수" hidden="1">#REF!</definedName>
    <definedName name="수량" hidden="1">#REF!</definedName>
    <definedName name="수량1" hidden="1">#REF!</definedName>
    <definedName name="수량산출" hidden="1">{"'산출근거'!$B$4:$D$8"}</definedName>
    <definedName name="수량산출1" hidden="1">{"'산출근거'!$B$4:$D$8"}</definedName>
    <definedName name="수량산출서" hidden="1">#REF!</definedName>
    <definedName name="수량산출서3" hidden="1">{#N/A,#N/A,TRUE,"총괄"}</definedName>
    <definedName name="수량산출서표지양식"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수량서표지"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수량표지"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수리계산서1" hidden="1">#N/A</definedName>
    <definedName name="수목제거" hidden="1">#REF!</definedName>
    <definedName name="수선비세부" hidden="1">#REF!</definedName>
    <definedName name="수원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익" hidden="1">#REF!</definedName>
    <definedName name="수익4속" hidden="1">{#N/A,#N/A,FALSE,"단축1";#N/A,#N/A,FALSE,"단축2";#N/A,#N/A,FALSE,"단축3";#N/A,#N/A,FALSE,"장축";#N/A,#N/A,FALSE,"4WD"}</definedName>
    <definedName name="수정" hidden="1">{#N/A,#N/A,FALSE,"현장 NCR 분석";#N/A,#N/A,FALSE,"현장품질감사";#N/A,#N/A,FALSE,"현장품질감사"}</definedName>
    <definedName name="수정물량" hidden="1">{#N/A,#N/A,TRUE,"Y생산";#N/A,#N/A,TRUE,"Y판매";#N/A,#N/A,TRUE,"Y총물량";#N/A,#N/A,TRUE,"Y능력";#N/A,#N/A,TRUE,"YKD"}</definedName>
    <definedName name="수지증감" hidden="1">{#N/A,#N/A,FALSE,"포장단가"}</definedName>
    <definedName name="수출판촉비총괄" hidden="1">#N/A</definedName>
    <definedName name="숙소"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A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C"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C1" hidden="1">{#N/A,#N/A,FALSE,"별표20 ";#N/A,#N/A,FALSE,"부표";#N/A,#N/A,FALSE,"품셈내역";#N/A,#N/A,FALSE,"품셈집계";#N/A,#N/A,FALSE,"내역서";#N/A,#N/A,FALSE,"집계표";#N/A,#N/A,FALSE,"표지";#N/A,#N/A,FALSE,"별표총괄표"}</definedName>
    <definedName name="숙소D"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F"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숫소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스라" hidden="1">#REF!</definedName>
    <definedName name="습식공사" hidden="1">{#N/A,#N/A,FALSE,"전력간선"}</definedName>
    <definedName name="승" localSheetId="0" hidden="1">{#N/A,#N/A,FALSE,"지침";#N/A,#N/A,FALSE,"환경분석";#N/A,#N/A,FALSE,"Sheet16"}</definedName>
    <definedName name="승" hidden="1">{#N/A,#N/A,FALSE,"지침";#N/A,#N/A,FALSE,"환경분석";#N/A,#N/A,FALSE,"Sheet16"}</definedName>
    <definedName name="승삼" hidden="1">{#N/A,#N/A,FALSE,"현장 NCR 분석";#N/A,#N/A,FALSE,"현장품질감사";#N/A,#N/A,FALSE,"현장품질감사"}</definedName>
    <definedName name="승용교" localSheetId="0" hidden="1">{#N/A,#N/A,FALSE,"2~8번"}</definedName>
    <definedName name="승용교" hidden="1">{#N/A,#N/A,FALSE,"2~8번"}</definedName>
    <definedName name="승우" hidden="1">{#N/A,#N/A,FALSE,"Sheet1"}</definedName>
    <definedName name="승이가" hidden="1">{#N/A,#N/A,FALSE,"지침";#N/A,#N/A,FALSE,"환경분석";#N/A,#N/A,FALSE,"Sheet16"}</definedName>
    <definedName name="시간" hidden="1">{#N/A,#N/A,TRUE,"Y생산";#N/A,#N/A,TRUE,"Y판매";#N/A,#N/A,TRUE,"Y총물량";#N/A,#N/A,TRUE,"Y능력";#N/A,#N/A,TRUE,"YKD"}</definedName>
    <definedName name="시단가" hidden="1">{#N/A,#N/A,FALSE,"Sheet1"}</definedName>
    <definedName name="시멘트집계" hidden="1">#REF!</definedName>
    <definedName name="시발" hidden="1">{"'Sheet1'!$A$4","'Sheet1'!$A$9:$G$28"}</definedName>
    <definedName name="시방서2" hidden="1">#REF!</definedName>
    <definedName name="시설기성갑" hidden="1">{#N/A,#N/A,FALSE,"현장 NCR 분석";#N/A,#N/A,FALSE,"현장품질감사";#N/A,#N/A,FALSE,"현장품질감사"}</definedName>
    <definedName name="시장동향" hidden="1">{#N/A,#N/A,TRUE,"Y생산";#N/A,#N/A,TRUE,"Y판매";#N/A,#N/A,TRUE,"Y총물량";#N/A,#N/A,TRUE,"Y능력";#N/A,#N/A,TRUE,"YKD"}</definedName>
    <definedName name="시중단가" hidden="1">{"'단계별시설공사비'!$A$3:$K$51"}</definedName>
    <definedName name="시트" hidden="1">1</definedName>
    <definedName name="시행" hidden="1">{#N/A,#N/A,FALSE,"이태원철근"}</definedName>
    <definedName name="시행비교"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식재이식삽도" localSheetId="0" hidden="1">{#N/A,#N/A,FALSE,"운반시간"}</definedName>
    <definedName name="식재이식삽도" hidden="1">{#N/A,#N/A,FALSE,"운반시간"}</definedName>
    <definedName name="신"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AT종합" hidden="1">{#N/A,#N/A,FALSE,"단축1";#N/A,#N/A,FALSE,"단축2";#N/A,#N/A,FALSE,"단축3";#N/A,#N/A,FALSE,"장축";#N/A,#N/A,FALSE,"4WD"}</definedName>
    <definedName name="신공항1역기능실2"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신과" hidden="1">{#N/A,#N/A,TRUE,"공조기";#N/A,#N/A,TRUE,"FCU";#N/A,#N/A,TRUE,"1-20";#N/A,#N/A,TRUE,"21-40";#N/A,#N/A,TRUE,"41-60";#N/A,#N/A,TRUE,"61-80";#N/A,#N/A,TRUE,"화장실부하집계";#N/A,#N/A,TRUE,"화장실"}</definedName>
    <definedName name="신기교P3본체집계" hidden="1">{#N/A,#N/A,FALSE,"배수1"}</definedName>
    <definedName name="신성" hidden="1">{#N/A,#N/A,TRUE,"손익보고"}</definedName>
    <definedName name="신세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대종합" hidden="1">{#N/A,#N/A,FALSE,"단축1";#N/A,#N/A,FALSE,"단축2";#N/A,#N/A,FALSE,"단축3";#N/A,#N/A,FALSE,"장축";#N/A,#N/A,FALSE,"4WD"}</definedName>
    <definedName name="신안" hidden="1">{#N/A,#N/A,FALSE,"현장 NCR 분석";#N/A,#N/A,FALSE,"현장품질감사";#N/A,#N/A,FALSE,"현장품질감사"}</definedName>
    <definedName name="신추진사업" hidden="1">{#N/A,#N/A,TRUE,"Y생산";#N/A,#N/A,TRUE,"Y판매";#N/A,#N/A,TRUE,"Y총물량";#N/A,#N/A,TRUE,"Y능력";#N/A,#N/A,TRUE,"YKD"}</definedName>
    <definedName name="신축공사" hidden="1">{"'단계별시설공사비'!$A$3:$K$51"}</definedName>
    <definedName name="신홍선" hidden="1">{#N/A,#N/A,TRUE,"총괄"}</definedName>
    <definedName name="실시" hidden="1">{#N/A,#N/A,FALSE,"단축1";#N/A,#N/A,FALSE,"단축2";#N/A,#N/A,FALSE,"단축3";#N/A,#N/A,FALSE,"장축";#N/A,#N/A,FALSE,"4WD"}</definedName>
    <definedName name="실시설계용역비변경내역" localSheetId="0" hidden="1">{"'정산내역서'!$A$1:$I$35","'정산서(절.성토부)'!$A$1:$Q$17","'정산서(교량부)'!$A$1:$Q$84","'총괄표'!$A$1:$M$12","'시행현황'!$A$1:$G$12","'표지'!$A$1:$N$27","'정산서(절.성토부)'!$A$3:$Q$7"}</definedName>
    <definedName name="실시설계용역비변경내역" hidden="1">{"'정산내역서'!$A$1:$I$35","'정산서(절.성토부)'!$A$1:$Q$17","'정산서(교량부)'!$A$1:$Q$84","'총괄표'!$A$1:$M$12","'시행현황'!$A$1:$G$12","'표지'!$A$1:$N$27","'정산서(절.성토부)'!$A$3:$Q$7"}</definedName>
    <definedName name="실행2" hidden="1">{#N/A,#N/A,FALSE,"지침";#N/A,#N/A,FALSE,"환경분석";#N/A,#N/A,FALSE,"Sheet16"}</definedName>
    <definedName name="실행내역2" hidden="1">{#N/A,#N/A,FALSE,"골재소요량";#N/A,#N/A,FALSE,"골재소요량"}</definedName>
    <definedName name="실행대비집계표" hidden="1">{#N/A,#N/A,FALSE,"운반시간"}</definedName>
    <definedName name="실행예산" hidden="1">{#N/A,#N/A,FALSE,"전력간선"}</definedName>
    <definedName name="실행예산1" hidden="1">{#N/A,#N/A,FALSE,"전력간선"}</definedName>
    <definedName name="실행원가" hidden="1">{#N/A,#N/A,FALSE,"전력간선"}</definedName>
    <definedName name="실행촐괄" hidden="1">#REF!</definedName>
    <definedName name="심신" hidden="1">{#N/A,#N/A,TRUE,"혼합골재"}</definedName>
    <definedName name="ㅇ" hidden="1">{#N/A,#N/A,FALSE,"조골재"}</definedName>
    <definedName name="ㅇ1" hidden="1">{#N/A,#N/A,FALSE,"CCTV"}</definedName>
    <definedName name="ㅇ1121ㅂㅂ" hidden="1">{"대출금상환계획",#N/A,FALSE,"추정IS,CF,무상사용"}</definedName>
    <definedName name="ㅇ1212121" hidden="1">{"관광단지",#N/A,FALSE,"배후단지 및 부대사업"}</definedName>
    <definedName name="ㅇ2" hidden="1">{#N/A,#N/A,FALSE,"CCTV"}</definedName>
    <definedName name="ㅇㄱㄱ" hidden="1">1</definedName>
    <definedName name="ㅇㄱ효" hidden="1">{#N/A,#N/A,FALSE,"조골재"}</definedName>
    <definedName name="ㅇㄴ" localSheetId="0" hidden="1">{"'중기작업1'!$A$1:$V$18"}</definedName>
    <definedName name="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ㄴㄴㄴㄴㄴㄴㄴㄴ" hidden="1">{#N/A,#N/A,FALSE,"혼합골재"}</definedName>
    <definedName name="ㅇㄴㄴㅇ" hidden="1">{"운영설비비1",#N/A,FALSE,"운영설비비";"운영설비비2",#N/A,FALSE,"운영설비비"}</definedName>
    <definedName name="ㅇㄴㄹ" hidden="1">{#N/A,#N/A,FALSE,"CAM-G7";#N/A,#N/A,FALSE,"SPL";#N/A,#N/A,FALSE,"butt-in G7";#N/A,#N/A,FALSE,"dia-in G7";#N/A,#N/A,FALSE,"추가-STA G7"}</definedName>
    <definedName name="ㅇㄴㄹㄹㄴㄹㄹ" localSheetId="0" hidden="1">{#N/A,#N/A,FALSE,"운반시간"}</definedName>
    <definedName name="ㅇㄴㄹㄹㄴㄹㄹ" hidden="1">{#N/A,#N/A,FALSE,"운반시간"}</definedName>
    <definedName name="ㅇㄴㄹㅇㄴㄹㅇㄴ" hidden="1">{#N/A,#N/A,FALSE,"조골재"}</definedName>
    <definedName name="ㅇㄴㄹㅇㄹㅇㄴㄹ" hidden="1">{#N/A,#N/A,FALSE,"혼합골재"}</definedName>
    <definedName name="ㅇㄴㄹㅇㄹㅇㄹ" hidden="1">{#N/A,#N/A,FALSE,"포장1";#N/A,#N/A,FALSE,"포장1"}</definedName>
    <definedName name="ㅇㄴㄻ" hidden="1">{#N/A,#N/A,FALSE,"표지목차"}</definedName>
    <definedName name="ㅇㄴㄻㄴㅇ" hidden="1">{#N/A,#N/A,FALSE,"표지목차"}</definedName>
    <definedName name="ㅇㄴㄻㄹ" hidden="1">#N/A</definedName>
    <definedName name="ㅇㄴㅀㄷㄳㄷㄳㄹㄷㄱㄱㄽㄱㄹ4ㄳㄷㄱㄷㄱㄹㄷㅈㄱㄹㄷㄱ" hidden="1">{#N/A,#N/A,FALSE,"골재소요량";#N/A,#N/A,FALSE,"골재소요량"}</definedName>
    <definedName name="ㅇㄴㅁ" localSheetId="0" hidden="1">#REF!</definedName>
    <definedName name="ㅇㄴㅁ" hidden="1">#REF!</definedName>
    <definedName name="ㅇㄴㅁㅁㅁ" hidden="1">{#N/A,#N/A,FALSE,"2~8번"}</definedName>
    <definedName name="ㅇㄴㅇㄴ" hidden="1">{#N/A,#N/A,FALSE,"포장2"}</definedName>
    <definedName name="ㅇㄴㅇㄴㅇ" hidden="1">{#N/A,#N/A,FALSE,"조골재"}</definedName>
    <definedName name="ㅇㄴㅇㅁㄴ" hidden="1">{#N/A,#N/A,FALSE,"2~8번"}</definedName>
    <definedName name="ㅇㄴㅇㅇ" hidden="1">{#N/A,#N/A,FALSE,"운반시간"}</definedName>
    <definedName name="ㅇㄴㅇㅇㅇ" hidden="1">{#N/A,#N/A,FALSE,"운반시간"}</definedName>
    <definedName name="ㅇㄴㅋㅋㅌ" hidden="1">{#N/A,#N/A,FALSE,"혼합골재"}</definedName>
    <definedName name="ㅇㄴㅍㄴㄱ" hidden="1">{#N/A,#N/A,FALSE,"골재소요량";#N/A,#N/A,FALSE,"골재소요량"}</definedName>
    <definedName name="ㅇ니ㅓ리" hidden="1">{#N/A,#N/A,FALSE,"2~8번"}</definedName>
    <definedName name="ㅇㄶ" hidden="1">#REF!</definedName>
    <definedName name="ㅇㄶㄴㅇ" hidden="1">{#N/A,#N/A,FALSE,"토공2"}</definedName>
    <definedName name="ㅇㄶㄹ" hidden="1">#REF!</definedName>
    <definedName name="ㅇㄷㄴㄶㅎ" hidden="1">{#N/A,#N/A,FALSE,"골재소요량";#N/A,#N/A,FALSE,"골재소요량"}</definedName>
    <definedName name="ㅇㄷㄷ" hidden="1">{#N/A,#N/A,TRUE,"Y생산";#N/A,#N/A,TRUE,"Y판매";#N/A,#N/A,TRUE,"Y총물량";#N/A,#N/A,TRUE,"Y능력";#N/A,#N/A,TRUE,"YKD"}</definedName>
    <definedName name="ㅇㄷㅇㄷ" hidden="1">{#N/A,#N/A,FALSE,"배당분석"}</definedName>
    <definedName name="ㅇㄹ" localSheetId="0" hidden="1">#REF!</definedName>
    <definedName name="ㅇㄹ" hidden="1">{#N/A,#N/A,FALSE,"단면 제원"}</definedName>
    <definedName name="ㅇㄹㄴ" localSheetId="0" hidden="1">{#N/A,#N/A,FALSE,"혼합골재"}</definedName>
    <definedName name="ㅇㄹㄴ" hidden="1">#REF!</definedName>
    <definedName name="ㅇㄹㄴㅀㄹㅇㅎㄹㅇㅎ" hidden="1">{#N/A,#N/A,FALSE,"2~8번"}</definedName>
    <definedName name="ㅇㄹㄴㅁ" hidden="1">{#N/A,#N/A,FALSE,"포장2"}</definedName>
    <definedName name="ㅇㄹㄴㅁ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ㄹㄴㅇㅎㄹ" hidden="1">{"'단가비교'!$A$1:$Q$21"}</definedName>
    <definedName name="ㅇㄹㄶ" hidden="1">{"'Sheet1'!$A$4","'Sheet1'!$A$9:$G$28"}</definedName>
    <definedName name="ㅇㄹㄶㄹㄴ" hidden="1">#N/A</definedName>
    <definedName name="ㅇㄹㄶㅇ" hidden="1">#REF!</definedName>
    <definedName name="ㅇㄹㄷ" hidden="1">{#N/A,#N/A,FALSE,"CCTV"}</definedName>
    <definedName name="ㅇㄹㄷㄷ" hidden="1">{#N/A,#N/A,FALSE,"CCTV"}</definedName>
    <definedName name="ㅇㄹㄹ" localSheetId="1" hidden="1">#REF!</definedName>
    <definedName name="ㅇㄹㄹ" hidden="1">#REF!</definedName>
    <definedName name="ㅇㄹㄹㄴㅇㄹㅇㄹㄴㅇ" hidden="1">#REF!</definedName>
    <definedName name="ㅇㄹㄹㅇ" localSheetId="0" hidden="1">{#N/A,#N/A,FALSE,"2~8번"}</definedName>
    <definedName name="ㅇㄹㄹㅇ" hidden="1">{#N/A,#N/A,FALSE,"2~8번"}</definedName>
    <definedName name="ㅇㄹㄹㅇㄹ" hidden="1">{"불변현금흐름",#N/A,FALSE,"추정IS,CF,무상사용"}</definedName>
    <definedName name="ㅇㄹㅇ" localSheetId="0" hidden="1">{#N/A,#N/A,FALSE,"운반시간"}</definedName>
    <definedName name="ㅇㄹㅇ" hidden="1">{#N/A,#N/A,FALSE,"운반시간"}</definedName>
    <definedName name="ㅇㄹㅇㄴㄹㅇ니ㅏ" hidden="1">{#N/A,#N/A,FALSE,"CCTV"}</definedName>
    <definedName name="ㅇㄹㅇㄹ" hidden="1">#REF!</definedName>
    <definedName name="ㅇㄹㅇㄹㄹㄹ" hidden="1">{#N/A,#N/A,FALSE,"CCTV"}</definedName>
    <definedName name="ㅇㄹㅇㄹㄹㄹㅇ" hidden="1">{#N/A,#N/A,FALSE,"전력간선"}</definedName>
    <definedName name="ㅇㄹㅇㄹㅇㄹ" hidden="1">{#N/A,#N/A,FALSE,"CCTV"}</definedName>
    <definedName name="ㅇㄹㅇㄹㅇㄹㅇㄹㅇㄹ" hidden="1">{"관광단지",#N/A,FALSE,"배후단지 및 부대사업"}</definedName>
    <definedName name="ㅇㄹㅇㄹㅇㄹㅇㄹㅇㄹㅇ" hidden="1">{"운영비용1",#N/A,FALSE,"운영비용";"운영비용2",#N/A,FALSE,"운영비용";"운영비용3",#N/A,FALSE,"운영비용";"운영비용4",#N/A,FALSE,"운영비용";"운영비용5",#N/A,FALSE,"운영비용";"운영비용6",#N/A,FALSE,"운영비용"}</definedName>
    <definedName name="ㅇㄹㅇㄹㅇㄹㅇㄹㅇㄹㅇㄹ" hidden="1">{"1단계 투자비명세",#N/A,FALSE,"투자비명세";"2단계 투자비명세",#N/A,FALSE,"투자비명세"}</definedName>
    <definedName name="ㅇㄹㅇㄹㅇㅁㅇㄻㄻ" hidden="1">{"대출금상환계획",#N/A,FALSE,"추정IS,CF,무상사용"}</definedName>
    <definedName name="ㅇㄹㅈㅁ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ㄹ효ㅛ" hidden="1">#REF!</definedName>
    <definedName name="ㅇ러알ㅇㄹㅇㄹ" hidden="1">#REF!</definedName>
    <definedName name="ㅇ러ㅣㄴ이ㅏ러ㅣ" hidden="1">{#N/A,#N/A,FALSE,"Sheet1"}</definedName>
    <definedName name="ㅇ로" hidden="1">{#N/A,#N/A,FALSE,"이정표"}</definedName>
    <definedName name="ㅇ롤옹롤ㅇ" hidden="1">{#N/A,#N/A,FALSE,"운반시간"}</definedName>
    <definedName name="ㅇ롷" hidden="1">{#N/A,#N/A,FALSE,"배수2"}</definedName>
    <definedName name="ㅇㄺ" hidden="1">{#N/A,#N/A,FALSE,"혼합골재"}</definedName>
    <definedName name="ㅇㄻㄴㅁㄴㄻ" hidden="1">{#N/A,#N/A,FALSE,"단가표지"}</definedName>
    <definedName name="ㅇㄻㄴ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ㄻㄴㅇㄻㄴㅇㄹ" hidden="1">#REF!</definedName>
    <definedName name="ㅇㄻㄴㅋㄻㅈㅇㄻㄴㅇㄹ" hidden="1">{"장비보유",#N/A,FALSE,"장비소요"}</definedName>
    <definedName name="ㅇㄻㅁㅁㅁ" hidden="1">{#N/A,#N/A,FALSE,"이정표"}</definedName>
    <definedName name="ㅇㄻㅇㄹㄷㄱㅁㄷㄱ" hidden="1">{#N/A,#N/A,FALSE,"토공2"}</definedName>
    <definedName name="ㅇㄻㅇㄻ" hidden="1">{#N/A,#N/A,FALSE,"표지목차"}</definedName>
    <definedName name="ㅇㄻㅇㄻㄴㄹ" hidden="1">{#N/A,#N/A,FALSE,"단가표지"}</definedName>
    <definedName name="ㅇㄼㅈ4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ㄽㄱ" hidden="1">{#N/A,#N/A,FALSE,"전력간선"}</definedName>
    <definedName name="ㅇㅀ" hidden="1">{#N/A,#N/A,FALSE,"배수1"}</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ㅇ" hidden="1">#N/A</definedName>
    <definedName name="ㅇㅀㄶㅇㄴ" hidden="1">#N/A</definedName>
    <definedName name="ㅇㅀㅁㅇㅁㅇ" hidden="1">{#N/A,#N/A,FALSE,"단가표지"}</definedName>
    <definedName name="ㅇㅀㅇㅎㄴ" hidden="1">#N/A</definedName>
    <definedName name="ㅇㅀㅎㅎㅎㅎㅎㅎㅎㅎㅎㅎㅎㅎㅎㅎㅎ" hidden="1">{#N/A,#N/A,FALSE,"구조2"}</definedName>
    <definedName name="ㅇㅁㄴ" hidden="1">{#N/A,#N/A,FALSE,"포장1";#N/A,#N/A,FALSE,"포장1"}</definedName>
    <definedName name="ㅇㅁㄴㄻㄴㅇㄹㅇㅁㄴ" hidden="1">{#N/A,#N/A,FALSE,"단면 제원"}</definedName>
    <definedName name="ㅇㅁㄴㄻㄴㅇㄻㄴㅇㄻㄴㅇㄻㄴㄹㅇㄻㅇㄻㅇㄴㄹ" hidden="1">{#N/A,#N/A,FALSE,"조골재"}</definedName>
    <definedName name="ㅇㅁㄴㅇ"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ㅇㅁㄴㅇ" hidden="1">{#N/A,#N/A,FALSE,"2~8번"}</definedName>
    <definedName name="ㅇㅁㄴㅇㄻㄴㅇㄻㄴㅇㄻㄴㅇㄹ" hidden="1">{#N/A,#N/A,FALSE,"골재소요량";#N/A,#N/A,FALSE,"골재소요량"}</definedName>
    <definedName name="ㅇㅁ니ㅓㅇㄹ" hidden="1">{#N/A,#N/A,FALSE,"조골재"}</definedName>
    <definedName name="ㅇㅁㄹ" hidden="1">{#N/A,#N/A,FALSE,"단면 제원"}</definedName>
    <definedName name="ㅇㅁㄻ" hidden="1">{#N/A,#N/A,FALSE,"Sheet1"}</definedName>
    <definedName name="ㅇㅁㄻㄴㅇㄹㅇㄻㅇㄹ" hidden="1">{#N/A,#N/A,FALSE,"부대1"}</definedName>
    <definedName name="ㅇㅁㅇㅁ" hidden="1">{#N/A,#N/A,FALSE,"2~8번"}</definedName>
    <definedName name="ㅇㅁㅎㄻㅍㅊ" hidden="1">{"장비보유1",#N/A,FALSE,"장비보유현황";"장비보유2",#N/A,FALSE,"장비보유현황"}</definedName>
    <definedName name="ㅇ셔ㅛ" hidden="1">{#N/A,#N/A,FALSE,"2~8번"}</definedName>
    <definedName name="ㅇ쇼뉴굔" hidden="1">{#N/A,#N/A,FALSE,"조골재"}</definedName>
    <definedName name="ㅇ수ㅕㅜㅇ" hidden="1">{#N/A,#N/A,FALSE,"단가표지"}</definedName>
    <definedName name="ㅇㅇ" localSheetId="0" hidden="1">#REF!</definedName>
    <definedName name="ㅇㅇ" hidden="1">{#N/A,#N/A,FALSE,"운반시간"}</definedName>
    <definedName name="ㅇㅇ011" hidden="1">{#N/A,#N/A,FALSE,"조골재"}</definedName>
    <definedName name="ㅇㅇ1212" hidden="1">{"부대사업수익총괄",#N/A,FALSE,"배후단지 및 부대사업"}</definedName>
    <definedName name="ㅇㅇㄴㄴ" hidden="1">{"개업비1",#N/A,FALSE,"개업비";"개업비2",#N/A,FALSE,"개업비";"개업비3",#N/A,FALSE,"개업비";"개업비4",#N/A,FALSE,"개업비"}</definedName>
    <definedName name="ㅇㅇㄹ" hidden="1">#REF!</definedName>
    <definedName name="ㅇㅇㄹㄹ" hidden="1">{#N/A,#N/A,FALSE,"표지";#N/A,#N/A,FALSE,"전제";#N/A,#N/A,FALSE,"손익-자 (2)";#N/A,#N/A,FALSE,"손익-자";#N/A,#N/A,FALSE,"손익-마 (2)";#N/A,#N/A,FALSE,"손익-마";#N/A,#N/A,FALSE,"총손최종"}</definedName>
    <definedName name="ㅇㅇㅇ" hidden="1">{#N/A,#N/A,FALSE,"운반시간"}</definedName>
    <definedName name="ㅇㅇㅇ1121" hidden="1">{"배후단지",#N/A,FALSE,"배후단지 및 부대사업"}</definedName>
    <definedName name="ㅇㅇㅇㅇ" hidden="1">#REF!</definedName>
    <definedName name="ㅇㅇㅇㅇㅇ" hidden="1">{"'중기작업1'!$A$1:$V$18"}</definedName>
    <definedName name="ㅇㅇㅇㅇㅇㄹ" hidden="1">{"부대사업수익총괄",#N/A,FALSE,"배후단지 및 부대사업"}</definedName>
    <definedName name="ㅇㅇㅇㅇㅇㅇ" localSheetId="0" hidden="1">{#N/A,#N/A,FALSE,"조골재"}</definedName>
    <definedName name="ㅇㅇㅇㅇㅇㅇ" hidden="1">{#N/A,#N/A,FALSE,"조골재"}</definedName>
    <definedName name="ㅇㅇㅇㅇㅇㅇㅇㅇ" hidden="1">{#N/A,#N/A,FALSE,"배수1"}</definedName>
    <definedName name="ㅇㅇㅇㅇㅇㅇㅇㅇㅇ" localSheetId="0" hidden="1">{"'정산내역서'!$A$1:$I$35","'정산서(절.성토부)'!$A$1:$Q$17","'정산서(교량부)'!$A$1:$Q$84","'총괄표'!$A$1:$M$12","'시행현황'!$A$1:$G$12","'표지'!$A$1:$N$27","'정산서(절.성토부)'!$A$3:$Q$7"}</definedName>
    <definedName name="ㅇㅇㅇㅇㅇㅇㅇㅇㅇ" hidden="1">{"'정산내역서'!$A$1:$I$35","'정산서(절.성토부)'!$A$1:$Q$17","'정산서(교량부)'!$A$1:$Q$84","'총괄표'!$A$1:$M$12","'시행현황'!$A$1:$G$12","'표지'!$A$1:$N$27","'정산서(절.성토부)'!$A$3:$Q$7"}</definedName>
    <definedName name="ㅇㅇㅇㅇㅇㅇㅇㅇㅇㅇ" hidden="1">{#N/A,#N/A,FALSE,"운반시간"}</definedName>
    <definedName name="ㅇㅇㅇㅇㅇㅇㅇㅇㅇㅇㅇㅇ" hidden="1">#REF!</definedName>
    <definedName name="ㅇㅇㅇㅎㄹ" hidden="1">{#N/A,#N/A,FALSE,"현장 NCR 분석";#N/A,#N/A,FALSE,"현장품질감사";#N/A,#N/A,FALSE,"현장품질감사"}</definedName>
    <definedName name="ㅇ아아ㅏ앙" hidden="1">{#N/A,#N/A,TRUE,"Y생산";#N/A,#N/A,TRUE,"Y판매";#N/A,#N/A,TRUE,"Y총물량";#N/A,#N/A,TRUE,"Y능력";#N/A,#N/A,TRUE,"YKD"}</definedName>
    <definedName name="ㅇㅈㄷㅄㅂㅈㄷㄱ" hidden="1">#REF!</definedName>
    <definedName name="ㅇㅈㅂ" hidden="1">{#N/A,#N/A,FALSE,"구조2"}</definedName>
    <definedName name="ㅇㅈㅂㄴㅇ" hidden="1">{#N/A,#N/A,FALSE,"포장2"}</definedName>
    <definedName name="ㅇㅈㅇㅈㅇㅈㅇㅈㅇㅈ" hidden="1">{"'중기작업1'!$A$1:$V$18"}</definedName>
    <definedName name="ㅇㅊㅍㅍㅊㅌㅍㅊㅌㅍㅌ" hidden="1">#REF!</definedName>
    <definedName name="ㅇㅋ론ㅁㅇ러ㅏㅣㅁㅇ" hidden="1">{#N/A,#N/A,FALSE,"포장2"}</definedName>
    <definedName name="ㅇㅍㄴㅁ3" hidden="1">{#N/A,#N/A,FALSE,"조골재"}</definedName>
    <definedName name="ㅇㅎ" hidden="1">{#N/A,#N/A,FALSE,"단축1";#N/A,#N/A,FALSE,"단축2";#N/A,#N/A,FALSE,"단축3";#N/A,#N/A,FALSE,"장축";#N/A,#N/A,FALSE,"4WD"}</definedName>
    <definedName name="ㅇㅎㄴㄹㅇㄴ호ㅗ" hidden="1">#REF!</definedName>
    <definedName name="ㅇㅎㄴㅀㄴㅇ" hidden="1">#N/A</definedName>
    <definedName name="ㅇㅎㄹㅇㅎㄹㅇ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ㅎㅁㄴㅇ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ㅎㅇㅀ" hidden="1">{#N/A,#N/A,FALSE,"단가표지"}</definedName>
    <definedName name="ㅇ호" hidden="1">{#N/A,#N/A,FALSE,"혼합골재"}</definedName>
    <definedName name="ㅇ혻" hidden="1">{#N/A,#N/A,FALSE,"조골재"}</definedName>
    <definedName name="ㅇ홓ㅇ" hidden="1">#N/A</definedName>
    <definedName name="아" localSheetId="1" hidden="1">{"'터널공'!$A$177:$A$186"}</definedName>
    <definedName name="아" hidden="1">{#N/A,#N/A,FALSE,"혼합골재"}</definedName>
    <definedName name="아니오" hidden="1">{#N/A,#N/A,FALSE,"단가표지"}</definedName>
    <definedName name="아러ㅏ너란알" hidden="1">{#N/A,#N/A,FALSE,"Sheet1"}</definedName>
    <definedName name="아러ㅏ러" hidden="1">{"'Firr(선)'!$AS$1:$AY$62","'Firr(사)'!$AS$1:$AY$62","'Firr(회)'!$AS$1:$AY$62","'Firr(선)'!$L$1:$V$62","'Firr(사)'!$L$1:$V$62","'Firr(회)'!$L$1:$V$62"}</definedName>
    <definedName name="아마" hidden="1">{#N/A,#N/A,FALSE,"현장 NCR 분석";#N/A,#N/A,FALSE,"현장품질감사";#N/A,#N/A,FALSE,"현장품질감사"}</definedName>
    <definedName name="아마로드" hidden="1">{#N/A,#N/A,FALSE,"현장 NCR 분석";#N/A,#N/A,FALSE,"현장품질감사";#N/A,#N/A,FALSE,"현장품질감사"}</definedName>
    <definedName name="아무" hidden="1">{#N/A,#N/A,FALSE,"배수2"}</definedName>
    <definedName name="아무거나" localSheetId="0" hidden="1">#REF!</definedName>
    <definedName name="아무거나" hidden="1">{#N/A,#N/A,FALSE,"배수2"}</definedName>
    <definedName name="아스콘" hidden="1">{#N/A,#N/A,FALSE,"현장 NCR 분석";#N/A,#N/A,FALSE,"현장품질감사";#N/A,#N/A,FALSE,"현장품질감사"}</definedName>
    <definedName name="아스콘2" hidden="1">#REF!</definedName>
    <definedName name="아스콘깨기" localSheetId="0" hidden="1">{#N/A,#N/A,FALSE,"골재소요량";#N/A,#N/A,FALSE,"골재소요량"}</definedName>
    <definedName name="아스콘깨기" hidden="1">{#N/A,#N/A,FALSE,"골재소요량";#N/A,#N/A,FALSE,"골재소요량"}</definedName>
    <definedName name="아스팔트" hidden="1">#REF!</definedName>
    <definedName name="아아" hidden="1">{#N/A,#N/A,FALSE,"현장 NCR 분석";#N/A,#N/A,FALSE,"현장품질감사";#N/A,#N/A,FALSE,"현장품질감사"}</definedName>
    <definedName name="아앙" hidden="1">{#N/A,#N/A,FALSE,"현장 NCR 분석";#N/A,#N/A,FALSE,"현장품질감사";#N/A,#N/A,FALSE,"현장품질감사"}</definedName>
    <definedName name="아앙아" localSheetId="0" hidden="1">{#N/A,#N/A,FALSE,"전력간선"}</definedName>
    <definedName name="아앙아" hidden="1">{#N/A,#N/A,FALSE,"전력간선"}</definedName>
    <definedName name="아ㅏ" localSheetId="0" hidden="1">{#N/A,#N/A,FALSE,"조골재"}</definedName>
    <definedName name="아ㅏ" localSheetId="1" hidden="1">{#N/A,#N/A,FALSE,"조골재"}</definedName>
    <definedName name="아ㅏ" hidden="1">{#N/A,#N/A,FALSE,"조골재"}</definedName>
    <definedName name="아ㅓ" hidden="1">{#N/A,#N/A,FALSE,"지침";#N/A,#N/A,FALSE,"환경분석";#N/A,#N/A,FALSE,"Sheet16"}</definedName>
    <definedName name="아ㅓ림" hidden="1">{#N/A,#N/A,FALSE,"포장1";#N/A,#N/A,FALSE,"포장1"}</definedName>
    <definedName name="안" hidden="1">{#N/A,#N/A,FALSE,"포장2"}</definedName>
    <definedName name="알지" hidden="1">{#N/A,#N/A,FALSE,"UNIT";#N/A,#N/A,FALSE,"UNIT";#N/A,#N/A,FALSE,"계정"}</definedName>
    <definedName name="암거" hidden="1">#N/A</definedName>
    <definedName name="암거날개벽" hidden="1">#REF!</definedName>
    <definedName name="암거재료집계" hidden="1">{"'중기작업1'!$A$1:$V$18"}</definedName>
    <definedName name="압력용기" hidden="1">{#N/A,#N/A,FALSE,"양식(을)"}</definedName>
    <definedName name="압출성형" hidden="1">{#N/A,#N/A,FALSE,"전력간선"}</definedName>
    <definedName name="앙" hidden="1">{#N/A,#N/A,FALSE,"손익표지";#N/A,#N/A,FALSE,"손익계산";#N/A,#N/A,FALSE,"일반관리비";#N/A,#N/A,FALSE,"영업외수익";#N/A,#N/A,FALSE,"영업외비용";#N/A,#N/A,FALSE,"매출액";#N/A,#N/A,FALSE,"요약손익";#N/A,#N/A,FALSE,"요약대차";#N/A,#N/A,FALSE,"매출채권현황";#N/A,#N/A,FALSE,"매출채권명세"}</definedName>
    <definedName name="애자" hidden="1">{#N/A,#N/A,FALSE,"현장 NCR 분석";#N/A,#N/A,FALSE,"현장품질감사";#N/A,#N/A,FALSE,"현장품질감사"}</definedName>
    <definedName name="야" hidden="1">{#N/A,#N/A,FALSE,"배수1"}</definedName>
    <definedName name="야간" localSheetId="0" hidden="1">{#N/A,#N/A,FALSE,"지침";#N/A,#N/A,FALSE,"환경분석";#N/A,#N/A,FALSE,"Sheet16"}</definedName>
    <definedName name="야간" hidden="1">{#N/A,#N/A,FALSE,"지침";#N/A,#N/A,FALSE,"환경분석";#N/A,#N/A,FALSE,"Sheet16"}</definedName>
    <definedName name="양기용" hidden="1">{#N/A,#N/A,FALSE,"월공사비집계표양식 (7)";#N/A,#N/A,FALSE,"월공사비집계표양식 (7)"}</definedName>
    <definedName name="양수장" hidden="1">{#N/A,#N/A,FALSE,"현장 NCR 분석";#N/A,#N/A,FALSE,"현장품질감사";#N/A,#N/A,FALSE,"현장품질감사"}</definedName>
    <definedName name="양액기교체완료" hidden="1">{"'건축내역'!$A$1:$L$413"}</definedName>
    <definedName name="양재승2222222" hidden="1">#REF!</definedName>
    <definedName name="어럴어" hidden="1">#N/A</definedName>
    <definedName name="어오" localSheetId="0" hidden="1">{#N/A,#N/A,FALSE,"현장 NCR 분석";#N/A,#N/A,FALSE,"현장품질감사";#N/A,#N/A,FALSE,"현장품질감사"}</definedName>
    <definedName name="어오" hidden="1">{#N/A,#N/A,FALSE,"현장 NCR 분석";#N/A,#N/A,FALSE,"현장품질감사";#N/A,#N/A,FALSE,"현장품질감사"}</definedName>
    <definedName name="억이상" localSheetId="0" hidden="1">{#N/A,#N/A,FALSE,"2~8번"}</definedName>
    <definedName name="억이상" hidden="1">{#N/A,#N/A,FALSE,"2~8번"}</definedName>
    <definedName name="엄차현" hidden="1">#REF!</definedName>
    <definedName name="업" hidden="1">{#N/A,#N/A,FALSE,"포장2"}</definedName>
    <definedName name="업종" hidden="1">{#N/A,#N/A,FALSE,"포장2"}</definedName>
    <definedName name="업체" localSheetId="1" hidden="1">#REF!</definedName>
    <definedName name="업체" hidden="1">#REF!</definedName>
    <definedName name="업체순위" hidden="1">{#N/A,#N/A,FALSE,"배수2"}</definedName>
    <definedName name="업체형틀" hidden="1">{#N/A,#N/A,FALSE,"월공사비집계표양식 (7)";#N/A,#N/A,FALSE,"월공사비집계표양식 (7)"}</definedName>
    <definedName name="에이" hidden="1">{#N/A,#N/A,TRUE,"Y생산";#N/A,#N/A,TRUE,"Y판매";#N/A,#N/A,TRUE,"Y총물량";#N/A,#N/A,TRUE,"Y능력";#N/A,#N/A,TRUE,"YKD"}</definedName>
    <definedName name="여건보고" hidden="1">{"'건축내역'!$A$1:$L$413"}</definedName>
    <definedName name="여력" hidden="1">{#N/A,#N/A,TRUE,"Y생산";#N/A,#N/A,TRUE,"Y판매";#N/A,#N/A,TRUE,"Y총물량";#N/A,#N/A,TRUE,"Y능력";#N/A,#N/A,TRUE,"YKD"}</definedName>
    <definedName name="여력인원" hidden="1">{#N/A,#N/A,FALSE,"96 3월물량표";#N/A,#N/A,FALSE,"96 4월물량표";#N/A,#N/A,FALSE,"96 5월물량표"}</definedName>
    <definedName name="여ㅜㅅㅅㄱㅇ" hidden="1">{#N/A,#N/A,FALSE,"골재소요량";#N/A,#N/A,FALSE,"골재소요량"}</definedName>
    <definedName name="연겅2" hidden="1">{#N/A,#N/A,FALSE,"단면 제원"}</definedName>
    <definedName name="연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경1교" localSheetId="1" hidden="1">{#N/A,#N/A,FALSE,"단면 제원"}</definedName>
    <definedName name="연경1교" hidden="1">{#N/A,#N/A,FALSE,"단면 제원"}</definedName>
    <definedName name="연경1교1" localSheetId="1" hidden="1">{#N/A,#N/A,FALSE,"단면 제원"}</definedName>
    <definedName name="연경1교1" hidden="1">{#N/A,#N/A,FALSE,"단면 제원"}</definedName>
    <definedName name="연경2교" hidden="1">{#N/A,#N/A,FALSE,"단면 제원"}</definedName>
    <definedName name="열처리" hidden="1">{#N/A,#N/A,FALSE,"단축1";#N/A,#N/A,FALSE,"단축2";#N/A,#N/A,FALSE,"단축3";#N/A,#N/A,FALSE,"장축";#N/A,#N/A,FALSE,"4WD"}</definedName>
    <definedName name="염색기술3" hidden="1">{#N/A,#N/A,TRUE,"손익보고"}</definedName>
    <definedName name="영건" hidden="1">{#N/A,#N/A,FALSE,"현장 NCR 분석";#N/A,#N/A,FALSE,"현장품질감사";#N/A,#N/A,FALSE,"현장품질감사"}</definedName>
    <definedName name="영건2" hidden="1">{#N/A,#N/A,FALSE,"현장 NCR 분석";#N/A,#N/A,FALSE,"현장품질감사";#N/A,#N/A,FALSE,"현장품질감사"}</definedName>
    <definedName name="영상" hidden="1">{"'용역비'!$A$4:$C$8"}</definedName>
    <definedName name="영시스템" hidden="1">#REF!</definedName>
    <definedName name="영암실행" hidden="1">{#N/A,#N/A,FALSE,"전력간선"}</definedName>
    <definedName name="영원" hidden="1">{#N/A,#N/A,FALSE,"현장 NCR 분석";#N/A,#N/A,FALSE,"현장품질감사";#N/A,#N/A,FALSE,"현장품질감사"}</definedName>
    <definedName name="영풍산업" hidden="1">{#N/A,#N/A,FALSE,"현장 NCR 분석";#N/A,#N/A,FALSE,"현장품질감사";#N/A,#N/A,FALSE,"현장품질감사"}</definedName>
    <definedName name="예" hidden="1">#REF!</definedName>
    <definedName name="예산" hidden="1">{#N/A,#N/A,FALSE,"현장 NCR 분석";#N/A,#N/A,FALSE,"현장품질감사";#N/A,#N/A,FALSE,"현장품질감사"}</definedName>
    <definedName name="예상도급내역" hidden="1">{#N/A,#N/A,FALSE,"CCTV"}</definedName>
    <definedName name="예정가" hidden="1">{#N/A,#N/A,FALSE,"포장2"}</definedName>
    <definedName name="예정공정" hidden="1">{#N/A,#N/A,FALSE,"CCTV"}</definedName>
    <definedName name="예정공정표수정" hidden="1">{"장비보유1",#N/A,FALSE,"장비보유현황";"장비보유2",#N/A,FALSE,"장비보유현황"}</definedName>
    <definedName name="오" localSheetId="0" hidden="1">#REF!</definedName>
    <definedName name="오" hidden="1">#REF!</definedName>
    <definedName name="오1" hidden="1">#REF!</definedName>
    <definedName name="오남" hidden="1">{#N/A,#N/A,FALSE,"현장 NCR 분석";#N/A,#N/A,FALSE,"현장품질감사";#N/A,#N/A,FALSE,"현장품질감사"}</definedName>
    <definedName name="오남2" hidden="1">{#N/A,#N/A,FALSE,"현장 NCR 분석";#N/A,#N/A,FALSE,"현장품질감사";#N/A,#N/A,FALSE,"현장품질감사"}</definedName>
    <definedName name="오늘" hidden="1">{#N/A,#N/A,TRUE,"Y생산";#N/A,#N/A,TRUE,"Y판매";#N/A,#N/A,TRUE,"Y총물량";#N/A,#N/A,TRUE,"Y능력";#N/A,#N/A,TRUE,"YKD"}</definedName>
    <definedName name="오배수입상" hidden="1">{#N/A,#N/A,TRUE,"천상그린44PY"}</definedName>
    <definedName name="오산터미널재건축" hidden="1">{#N/A,#N/A,TRUE,"총괄"}</definedName>
    <definedName name="오성협" hidden="1">{#N/A,#N/A,TRUE,"Y생산";#N/A,#N/A,TRUE,"Y판매";#N/A,#N/A,TRUE,"Y총물량";#N/A,#N/A,TRUE,"Y능력";#N/A,#N/A,TRUE,"YKD"}</definedName>
    <definedName name="오수맨홀위치" hidden="1">{"'Sheet1'!$A$4","'Sheet1'!$A$9:$G$28"}</definedName>
    <definedName name="오수토공" localSheetId="0" hidden="1">{#N/A,#N/A,FALSE,"기안지";#N/A,#N/A,FALSE,"통신지"}</definedName>
    <definedName name="오수토공" hidden="1">{#N/A,#N/A,FALSE,"기안지";#N/A,#N/A,FALSE,"통신지"}</definedName>
    <definedName name="오정진" hidden="1">{#N/A,#N/A,FALSE,"96 3월물량표";#N/A,#N/A,FALSE,"96 4월물량표";#N/A,#N/A,FALSE,"96 5월물량표"}</definedName>
    <definedName name="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hidden="1">{#N/A,#N/A,FALSE,"이태원철근"}</definedName>
    <definedName name="옥외대비" hidden="1">{#N/A,#N/A,FALSE,"이태원철근"}</definedName>
    <definedName name="옹" hidden="1">{#N/A,#N/A,FALSE,"골재소요량";#N/A,#N/A,FALSE,"골재소요량"}</definedName>
    <definedName name="옹벼집계" hidden="1">{#N/A,#N/A,FALSE,"혼합골재"}</definedName>
    <definedName name="옹벽" hidden="1">{#N/A,#N/A,FALSE,"표지목차"}</definedName>
    <definedName name="옹벽수량집계표" localSheetId="0" hidden="1">{#N/A,#N/A,FALSE,"2~8번"}</definedName>
    <definedName name="옹벽수량집계표" hidden="1">{#N/A,#N/A,FALSE,"2~8번"}</definedName>
    <definedName name="옹벽수량집계표총괄" localSheetId="0" hidden="1">{#N/A,#N/A,FALSE,"혼합골재"}</definedName>
    <definedName name="옹벽수량집계표총괄" hidden="1">{#N/A,#N/A,FALSE,"혼합골재"}</definedName>
    <definedName name="옹벽지" hidden="1">{#N/A,#N/A,FALSE,"혼합골재"}</definedName>
    <definedName name="옹벽철근수량" hidden="1">{#N/A,#N/A,FALSE,"2~8번"}</definedName>
    <definedName name="옹벽철근집계" hidden="1">{#N/A,#N/A,FALSE,"조골재"}</definedName>
    <definedName name="완도" hidden="1">{#N/A,#N/A,FALSE,"포장2"}</definedName>
    <definedName name="왜" hidden="1">{#N/A,#N/A,FALSE,"배수2"}</definedName>
    <definedName name="왜관보조구분소"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외관디자인" hidden="1">{#N/A,#N/A,FALSE,"현장 NCR 분석";#N/A,#N/A,FALSE,"현장품질감사";#N/A,#N/A,FALSE,"현장품질감사"}</definedName>
    <definedName name="외부출입구집계" hidden="1">#REF!</definedName>
    <definedName name="외주계획" hidden="1">{#N/A,#N/A,TRUE,"Y생산";#N/A,#N/A,TRUE,"Y판매";#N/A,#N/A,TRUE,"Y총물량";#N/A,#N/A,TRUE,"Y능력";#N/A,#N/A,TRUE,"YKD"}</definedName>
    <definedName name="외주비교" hidden="1">{#N/A,#N/A,FALSE,"결의서";#N/A,#N/A,FALSE,"내역서";#N/A,#N/A,FALSE,"도급예상";#N/A,#N/A,FALSE,"시방서"}</definedName>
    <definedName name="요수간선총괄표" hidden="1">{"'Sheet1'!$A$4","'Sheet1'!$A$9:$G$28"}</definedName>
    <definedName name="요ㅗㄵ" hidden="1">{#N/A,#N/A,FALSE,"구조2"}</definedName>
    <definedName name="용동교" hidden="1">{#N/A,#N/A,FALSE,"배수1"}</definedName>
    <definedName name="용수간선공사비" hidden="1">{"'Sheet1'!$A$4","'Sheet1'!$A$9:$G$28"}</definedName>
    <definedName name="용수로재료집계" hidden="1">{"'Sheet1'!$A$4","'Sheet1'!$A$9:$G$28"}</definedName>
    <definedName name="용역" hidden="1">{#N/A,#N/A,TRUE,"Y생산";#N/A,#N/A,TRUE,"Y판매";#N/A,#N/A,TRUE,"Y총물량";#N/A,#N/A,TRUE,"Y능력";#N/A,#N/A,TRUE,"YKD"}</definedName>
    <definedName name="용용" hidden="1">{#N/A,#N/A,FALSE,"포장2"}</definedName>
    <definedName name="용접봉산출1" hidden="1">#REF!</definedName>
    <definedName name="우각부" hidden="1">#REF!</definedName>
    <definedName name="우각부검토11" hidden="1">#REF!</definedName>
    <definedName name="우리나라" hidden="1">{#N/A,#N/A,TRUE,"Y생산";#N/A,#N/A,TRUE,"Y판매";#N/A,#N/A,TRUE,"Y총물량";#N/A,#N/A,TRUE,"Y능력";#N/A,#N/A,TRUE,"YKD"}</definedName>
    <definedName name="우수받이위치조서" hidden="1">{#N/A,#N/A,FALSE,"단가표지"}</definedName>
    <definedName name="우안" hidden="1">{"'Sheet1'!$A$4","'Sheet1'!$A$9:$G$28"}</definedName>
    <definedName name="우하하" hidden="1">#REF!</definedName>
    <definedName name="우회도로" hidden="1">{#N/A,#N/A,FALSE,"현장 NCR 분석";#N/A,#N/A,FALSE,"현장품질감사";#N/A,#N/A,FALSE,"현장품질감사"}</definedName>
    <definedName name="우ㅗ홓ㅇ" hidden="1">{#N/A,#N/A,FALSE,"조골재"}</definedName>
    <definedName name="운반" hidden="1">{#N/A,#N/A,FALSE,"골재소요량";#N/A,#N/A,FALSE,"골재소요량"}</definedName>
    <definedName name="운반량집계표" hidden="1">{#N/A,#N/A,FALSE,"전력간선"}</definedName>
    <definedName name="운반시간" hidden="1">{#N/A,#N/A,FALSE,"운반시간"}</definedName>
    <definedName name="운반중량1" hidden="1">#REF!</definedName>
    <definedName name="운반집계" hidden="1">{#N/A,#N/A,FALSE,"전력간선"}</definedName>
    <definedName name="운반집계표" hidden="1">{#N/A,#N/A,FALSE,"전력간선"}</definedName>
    <definedName name="울트구룡대보2공구" hidden="1">{#N/A,#N/A,FALSE,"속도"}</definedName>
    <definedName name="울트라" hidden="1">{#N/A,#N/A,FALSE,"구조1"}</definedName>
    <definedName name="울트라구룡2공구" hidden="1">{#N/A,#N/A,FALSE,"이정표"}</definedName>
    <definedName name="웃ㅇ국ㅇ" hidden="1">{#N/A,#N/A,FALSE,"혼합골재"}</definedName>
    <definedName name="워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 hidden="1">{#N/A,#N/A,TRUE,"Y생산";#N/A,#N/A,TRUE,"Y판매";#N/A,#N/A,TRUE,"Y총물량";#N/A,#N/A,TRUE,"Y능력";#N/A,#N/A,TRUE,"YKD"}</definedName>
    <definedName name="원2" hidden="1">{#N/A,#N/A,FALSE,"포장단가"}</definedName>
    <definedName name="원가" localSheetId="0" hidden="1">{#N/A,#N/A,FALSE,"운반시간"}</definedName>
    <definedName name="원가" hidden="1">{#N/A,#N/A,FALSE,"운반시간"}</definedName>
    <definedName name="원가2" hidden="1">{#N/A,#N/A,FALSE,"포장단가"}</definedName>
    <definedName name="원가2안" hidden="1">{#N/A,#N/A,FALSE,"운반시간"}</definedName>
    <definedName name="원가2차" hidden="1">{#N/A,#N/A,FALSE,"배수1"}</definedName>
    <definedName name="원가계산1" hidden="1">{#N/A,#N/A,FALSE,"단가표지"}</definedName>
    <definedName name="원가계산서" hidden="1">{#N/A,#N/A,FALSE,"단면 제원"}</definedName>
    <definedName name="원가계산서1" hidden="1">{#N/A,#N/A,FALSE,"단면 제원"}</definedName>
    <definedName name="원남내역" localSheetId="0" hidden="1">#REF!</definedName>
    <definedName name="원남내역" localSheetId="1" hidden="1">#REF!</definedName>
    <definedName name="원남내역" hidden="1">#REF!</definedName>
    <definedName name="원단" hidden="1">{#N/A,#N/A,TRUE,"Y생산";#N/A,#N/A,TRUE,"Y판매";#N/A,#N/A,TRUE,"Y총물량";#N/A,#N/A,TRUE,"Y능력";#N/A,#N/A,TRUE,"YKD"}</definedName>
    <definedName name="월드건설" hidden="1">{#N/A,#N/A,FALSE,"이태원철근"}</definedName>
    <definedName name="월별계획" hidden="1">{#N/A,#N/A,FALSE,"현장 NCR 분석";#N/A,#N/A,FALSE,"현장품질감사";#N/A,#N/A,FALSE,"현장품질감사"}</definedName>
    <definedName name="월별투입" localSheetId="0" hidden="1">{#N/A,#N/A,FALSE,"지침";#N/A,#N/A,FALSE,"환경분석";#N/A,#N/A,FALSE,"Sheet16"}</definedName>
    <definedName name="월별투입" hidden="1">{#N/A,#N/A,FALSE,"지침";#N/A,#N/A,FALSE,"환경분석";#N/A,#N/A,FALSE,"Sheet16"}</definedName>
    <definedName name="위" hidden="1">{"'Sheet1'!$A$4","'Sheet1'!$A$9:$G$28"}</definedName>
    <definedName name="위치도" hidden="1">{#N/A,#N/A,FALSE,"지침";#N/A,#N/A,FALSE,"환경분석";#N/A,#N/A,FALSE,"Sheet16"}</definedName>
    <definedName name="위치도1" hidden="1">{#N/A,#N/A,FALSE,"현장 NCR 분석";#N/A,#N/A,FALSE,"현장품질감사";#N/A,#N/A,FALSE,"현장품질감사"}</definedName>
    <definedName name="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유정호" hidden="1">#REF!</definedName>
    <definedName name="육각블럭" hidden="1">{#N/A,#N/A,FALSE,"포장단가"}</definedName>
    <definedName name="육교" hidden="1">{#N/A,#N/A,FALSE,"단면 제원"}</definedName>
    <definedName name="으름" hidden="1">{#N/A,#N/A,FALSE,"지침";#N/A,#N/A,FALSE,"환경분석";#N/A,#N/A,FALSE,"Sheet16"}</definedName>
    <definedName name="으으" hidden="1">{#N/A,#N/A,FALSE,"지침";#N/A,#N/A,FALSE,"환경분석";#N/A,#N/A,FALSE,"Sheet16"}</definedName>
    <definedName name="은" hidden="1">{#N/A,#N/A,FALSE,"구조2"}</definedName>
    <definedName name="은구2" hidden="1">{#N/A,#N/A,FALSE,"부대1"}</definedName>
    <definedName name="을1" hidden="1">{#N/A,#N/A,FALSE,"현장 NCR 분석";#N/A,#N/A,FALSE,"현장품질감사";#N/A,#N/A,FALSE,"현장품질감사"}</definedName>
    <definedName name="을지" hidden="1">{#N/A,#N/A,FALSE,"전력간선"}</definedName>
    <definedName name="의" localSheetId="0" hidden="1">{#N/A,#N/A,FALSE,"운반시간"}</definedName>
    <definedName name="의" hidden="1">{#N/A,#N/A,FALSE,"운반시간"}</definedName>
    <definedName name="이" hidden="1">{#N/A,#N/A,FALSE,"2~8번"}</definedName>
    <definedName name="이가" localSheetId="0" hidden="1">{"'Firr(선)'!$AS$1:$AY$62","'Firr(사)'!$AS$1:$AY$62","'Firr(회)'!$AS$1:$AY$62","'Firr(선)'!$L$1:$V$62","'Firr(사)'!$L$1:$V$62","'Firr(회)'!$L$1:$V$62"}</definedName>
    <definedName name="이가" hidden="1">{"'Firr(선)'!$AS$1:$AY$62","'Firr(사)'!$AS$1:$AY$62","'Firr(회)'!$AS$1:$AY$62","'Firr(선)'!$L$1:$V$62","'Firr(사)'!$L$1:$V$62","'Firr(회)'!$L$1:$V$62"}</definedName>
    <definedName name="이기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동" localSheetId="0" hidden="1">{#N/A,#N/A,FALSE,"조골재"}</definedName>
    <definedName name="이동" hidden="1">{#N/A,#N/A,FALSE,"조골재"}</definedName>
    <definedName name="이런" hidden="1">{#N/A,#N/A,FALSE,"지침";#N/A,#N/A,FALSE,"환경분석";#N/A,#N/A,FALSE,"Sheet16"}</definedName>
    <definedName name="이론" hidden="1">{#N/A,#N/A,FALSE,"속도"}</definedName>
    <definedName name="이름" hidden="1">{#N/A,#N/A,FALSE,"구조1"}</definedName>
    <definedName name="이름1" hidden="1">{#N/A,#N/A,FALSE,"명세표"}</definedName>
    <definedName name="이름충돌\" hidden="1">{#N/A,#N/A,TRUE,"Y생산";#N/A,#N/A,TRUE,"Y판매";#N/A,#N/A,TRUE,"Y총물량";#N/A,#N/A,TRUE,"Y능력";#N/A,#N/A,TRUE,"YKD"}</definedName>
    <definedName name="이릉" hidden="1">#REF!</definedName>
    <definedName name="이상" hidden="1">{#N/A,#N/A,FALSE,"지침";#N/A,#N/A,FALSE,"환경분석";#N/A,#N/A,FALSE,"Sheet16"}</definedName>
    <definedName name="이성진" hidden="1">{#N/A,#N/A,TRUE,"총괄"}</definedName>
    <definedName name="이승용" hidden="1">{"'Firr(선)'!$AS$1:$AY$62","'Firr(사)'!$AS$1:$AY$62","'Firr(회)'!$AS$1:$AY$62","'Firr(선)'!$L$1:$V$62","'Firr(사)'!$L$1:$V$62","'Firr(회)'!$L$1:$V$62"}</definedName>
    <definedName name="이시" hidden="1">{#N/A,#N/A,FALSE,"골재소요량";#N/A,#N/A,FALSE,"골재소요량"}</definedName>
    <definedName name="이식관련" hidden="1">#REF!</definedName>
    <definedName name="이월3" hidden="1">{#N/A,#N/A,FALSE,"혼합골재"}</definedName>
    <definedName name="이인자" hidden="1">{#N/A,#N/A,FALSE,"현장 NCR 분석";#N/A,#N/A,FALSE,"현장품질감사";#N/A,#N/A,FALSE,"현장품질감사"}</definedName>
    <definedName name="이정" localSheetId="0" hidden="1">{#N/A,#N/A,FALSE,"이정표"}</definedName>
    <definedName name="이정" hidden="1">{#N/A,#N/A,FALSE,"2~8번"}</definedName>
    <definedName name="이정석" hidden="1">{#N/A,#N/A,FALSE,"양식(을)"}</definedName>
    <definedName name="이정표" localSheetId="0" hidden="1">{#N/A,#N/A,FALSE,"이정표"}</definedName>
    <definedName name="이정표" hidden="1">{#N/A,#N/A,FALSE,"이정표"}</definedName>
    <definedName name="이종구" hidden="1">{#N/A,#N/A,FALSE,"배수1"}</definedName>
    <definedName name="이종섭" hidden="1">{#N/A,#N/A,FALSE,"단가표지"}</definedName>
    <definedName name="이종섭1" hidden="1">{#N/A,#N/A,FALSE,"표지목차"}</definedName>
    <definedName name="이종훈" localSheetId="0" hidden="1">#REF!</definedName>
    <definedName name="이종훈" hidden="1">#REF!</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토변" hidden="1">{"'단가비교'!$A$1:$Q$21"}</definedName>
    <definedName name="이ㅏㅁ넝리먼ㅇㄹ" hidden="1">{#N/A,#N/A,FALSE,"골재소요량";#N/A,#N/A,FALSE,"골재소요량"}</definedName>
    <definedName name="인" hidden="1">{#N/A,#N/A,FALSE,"골재소요량";#N/A,#N/A,FALSE,"골재소요량"}</definedName>
    <definedName name="인2" hidden="1">{#N/A,#N/A,FALSE,"단가표지"}</definedName>
    <definedName name="인계" hidden="1">{#N/A,#N/A,TRUE,"Y생산";#N/A,#N/A,TRUE,"Y판매";#N/A,#N/A,TRUE,"Y총물량";#N/A,#N/A,TRUE,"Y능력";#N/A,#N/A,TRUE,"YKD"}</definedName>
    <definedName name="인계획" hidden="1">{#N/A,#N/A,TRUE,"Y생산";#N/A,#N/A,TRUE,"Y판매";#N/A,#N/A,TRUE,"Y총물량";#N/A,#N/A,TRUE,"Y능력";#N/A,#N/A,TRUE,"YKD"}</definedName>
    <definedName name="인도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인동" hidden="1">{#N/A,#N/A,FALSE,"Sheet1"}</definedName>
    <definedName name="인력" hidden="1">{#N/A,#N/A,FALSE,"현장 NCR 분석";#N/A,#N/A,FALSE,"현장품질감사";#N/A,#N/A,FALSE,"현장품질감사"}</definedName>
    <definedName name="인원세부" hidden="1">{#N/A,#N/A,TRUE,"Y생산";#N/A,#N/A,TRUE,"Y판매";#N/A,#N/A,TRUE,"Y총물량";#N/A,#N/A,TRUE,"Y능력";#N/A,#N/A,TRUE,"YKD"}</definedName>
    <definedName name="인정" hidden="1">{#N/A,#N/A,FALSE,"현장 NCR 분석";#N/A,#N/A,FALSE,"현장품질감사";#N/A,#N/A,FALSE,"현장품질감사"}</definedName>
    <definedName name="인천" localSheetId="0" hidden="1">{#N/A,#N/A,FALSE,"현장 NCR 분석";#N/A,#N/A,FALSE,"현장품질감사";#N/A,#N/A,FALSE,"현장품질감사"}</definedName>
    <definedName name="인천" hidden="1">{#N/A,#N/A,FALSE,"현장 NCR 분석";#N/A,#N/A,FALSE,"현장품질감사";#N/A,#N/A,FALSE,"현장품질감사"}</definedName>
    <definedName name="인천1" hidden="1">#REF!</definedName>
    <definedName name="인천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hidden="1">#REF!</definedName>
    <definedName name="일동" hidden="1">{#N/A,#N/A,TRUE,"Y생산";#N/A,#N/A,TRUE,"Y판매";#N/A,#N/A,TRUE,"Y총물량";#N/A,#N/A,TRUE,"Y능력";#N/A,#N/A,TRUE,"YKD"}</definedName>
    <definedName name="일반부" hidden="1">{#N/A,#N/A,FALSE,"조골재"}</definedName>
    <definedName name="일선종건" hidden="1">{#N/A,#N/A,FALSE,"현장 NCR 분석";#N/A,#N/A,FALSE,"현장품질감사";#N/A,#N/A,FALSE,"현장품질감사"}</definedName>
    <definedName name="일위대가3" hidden="1">{#N/A,#N/A,TRUE,"손익보고"}</definedName>
    <definedName name="일위대가6" hidden="1">{#N/A,#N/A,TRUE,"손익보고"}</definedName>
    <definedName name="일위대가목록표" hidden="1">{#N/A,#N/A,FALSE,"현장 NCR 분석";#N/A,#N/A,FALSE,"현장품질감사";#N/A,#N/A,FALSE,"현장품질감사"}</definedName>
    <definedName name="일위대가호표" hidden="1">#REF!</definedName>
    <definedName name="일위목록" hidden="1">#REF!</definedName>
    <definedName name="일자별" hidden="1">{#N/A,#N/A,TRUE,"Y생산";#N/A,#N/A,TRUE,"Y판매";#N/A,#N/A,TRUE,"Y총물량";#N/A,#N/A,TRUE,"Y능력";#N/A,#N/A,TRUE,"YKD"}</definedName>
    <definedName name="일정" hidden="1">{#N/A,#N/A,TRUE,"Y생산";#N/A,#N/A,TRUE,"Y판매";#N/A,#N/A,TRUE,"Y총물량";#N/A,#N/A,TRUE,"Y능력";#N/A,#N/A,TRUE,"YKD"}</definedName>
    <definedName name="일집" hidden="1">#REF!</definedName>
    <definedName name="일투입" hidden="1">{#N/A,#N/A,FALSE,"지침";#N/A,#N/A,FALSE,"환경분석";#N/A,#N/A,FALSE,"Sheet16"}</definedName>
    <definedName name="임" hidden="1">{#N/A,#N/A,FALSE,"현장 NCR 분석";#N/A,#N/A,FALSE,"현장품질감사";#N/A,#N/A,FALSE,"현장품질감사"}</definedName>
    <definedName name="임ㄴ" hidden="1">{"'공사부문'!$A$6:$A$32"}</definedName>
    <definedName name="임대" hidden="1">{#N/A,#N/A,FALSE,"현장 NCR 분석";#N/A,#N/A,FALSE,"현장품질감사";#N/A,#N/A,FALSE,"현장품질감사"}</definedName>
    <definedName name="임시" hidden="1">{#N/A,#N/A,FALSE,"현장 NCR 분석";#N/A,#N/A,FALSE,"현장품질감사";#N/A,#N/A,FALSE,"현장품질감사"}</definedName>
    <definedName name="임시1" hidden="1">{#N/A,#N/A,FALSE,"전력간선"}</definedName>
    <definedName name="임시2" hidden="1">{#N/A,#N/A,FALSE,"전력간선"}</definedName>
    <definedName name="임형" hidden="1">{#N/A,#N/A,FALSE,"포장2"}</definedName>
    <definedName name="입찰금액안" hidden="1">#REF!</definedName>
    <definedName name="입찰원가서" hidden="1">{#N/A,#N/A,FALSE,"2~8번"}</definedName>
    <definedName name="ㅈ" hidden="1">{#N/A,#N/A,FALSE,"혼합골재"}</definedName>
    <definedName name="ㅈ1" hidden="1">{#N/A,#N/A,FALSE,"혼합골재"}</definedName>
    <definedName name="ㅈ12" hidden="1">{#N/A,#N/A,FALSE,"2~8번"}</definedName>
    <definedName name="ㅈ4ㅅ" hidden="1">{#N/A,#N/A,FALSE,"구조1"}</definedName>
    <definedName name="ㅈㄱ" hidden="1">{#N/A,#N/A,FALSE,"조골재"}</definedName>
    <definedName name="ㅈㄱㄷㅁㄹㄴ" hidden="1">#N/A</definedName>
    <definedName name="ㅈㄱ둊ㄷㄳ" hidden="1">{#N/A,#N/A,FALSE,"포장1";#N/A,#N/A,FALSE,"포장1"}</definedName>
    <definedName name="ㅈㄴㄴㄴ" hidden="1">{#N/A,#N/A,FALSE,"갑지";#N/A,#N/A,FALSE,"개요";#N/A,#N/A,FALSE,"비목별";#N/A,#N/A,FALSE,"건물별";#N/A,#N/A,FALSE,"기구표";#N/A,#N/A,FALSE,"직원투입"}</definedName>
    <definedName name="ㅈㄵㄵㄵㄴㄵㄵㄴ" hidden="1">{"'중기작업1'!$A$1:$V$18"}</definedName>
    <definedName name="ㅈㄷ" hidden="1">{"'Sheet1'!$A$4","'Sheet1'!$A$9:$G$28"}</definedName>
    <definedName name="ㅈㄷㄱ" hidden="1">{#N/A,#N/A,FALSE,"현장 NCR 분석";#N/A,#N/A,FALSE,"현장품질감사";#N/A,#N/A,FALSE,"현장품질감사"}</definedName>
    <definedName name="ㅈㄷㄱ4555" hidden="1">#REF!</definedName>
    <definedName name="ㅈㄷㄱㄷㄱ" hidden="1">#REF!</definedName>
    <definedName name="ㅈㄷㄱㄷㄱㄷ" hidden="1">{"'용역비'!$A$4:$C$8"}</definedName>
    <definedName name="ㅈㄷㄱㄷㅈㄱㄷㅈ" hidden="1">{#N/A,#N/A,FALSE,"표지목차"}</definedName>
    <definedName name="ㅈㄷㄱㄹㄹ" hidden="1">#REF!</definedName>
    <definedName name="ㅈㄷㄱㅂㅈㄷ" hidden="1">#N/A</definedName>
    <definedName name="ㅈㄷㄳㅅ" hidden="1">#REF!</definedName>
    <definedName name="ㅈㄷㄳㅈㄷㅍㅎㄱ" hidden="1">{#N/A,#N/A,FALSE,"표지목차"}</definedName>
    <definedName name="ㅈㄷㄳㅎㅍㅂㅈㄱ" hidden="1">{#N/A,#N/A,FALSE,"골재소요량";#N/A,#N/A,FALSE,"골재소요량"}</definedName>
    <definedName name="ㅈㄷㄷㄱㅇ로" hidden="1">#REF!</definedName>
    <definedName name="ㅈㄷㄷㄷㄷ" hidden="1">{"'Sheet1'!$A$4","'Sheet1'!$A$9:$G$28"}</definedName>
    <definedName name="ㅈㄷㄹ" hidden="1">{#N/A,#N/A,FALSE,"혼합골재"}</definedName>
    <definedName name="ㅈㄷㄻㅇㄹ" hidden="1">#REF!</definedName>
    <definedName name="ㅈㄷㄻㅈ" hidden="1">#REF!</definedName>
    <definedName name="ㅈㄷㅂㄱㄷ" hidden="1">#N/A</definedName>
    <definedName name="ㅈㄷㅄ" hidden="1">#N/A</definedName>
    <definedName name="ㅈㄷㅅㅅㄱ" hidden="1">#REF!</definedName>
    <definedName name="ㅈㄷㅈㄷ" hidden="1">#REF!</definedName>
    <definedName name="ㅈㄷㅈㅈ" hidden="1">#REF!</definedName>
    <definedName name="ㅈㅁㄱㄷ" hidden="1">{#N/A,#N/A,FALSE,"단가표지"}</definedName>
    <definedName name="ㅈㅂㅇ" hidden="1">{#N/A,#N/A,FALSE,"구조2"}</definedName>
    <definedName name="ㅈㅂㅈ" hidden="1">{#N/A,#N/A,FALSE,"구조2"}</definedName>
    <definedName name="ㅈㅂㅈㅂㅈㅂ" hidden="1">{#N/A,#N/A,FALSE,"배당분석"}</definedName>
    <definedName name="ㅈㅅㅇㄱㅈ" hidden="1">{#N/A,#N/A,FALSE,"구조2"}</definedName>
    <definedName name="ㅈㅇㄷㅂ\" hidden="1">{#N/A,#N/A,FALSE,"전력간선"}</definedName>
    <definedName name="ㅈㅇㅁㄴ" hidden="1">{#N/A,#N/A,FALSE,"혼합골재"}</definedName>
    <definedName name="ㅈㅈ" hidden="1">{#N/A,#N/A,FALSE,"표지목차"}</definedName>
    <definedName name="ㅈㅈ1" hidden="1">{#N/A,#N/A,FALSE,"혼합골재"}</definedName>
    <definedName name="ㅈㅈㄷ" hidden="1">{#N/A,#N/A,FALSE,"전력간선"}</definedName>
    <definedName name="ㅈㅈㅈ" localSheetId="0" hidden="1">{#N/A,#N/A,FALSE,"골재소요량";#N/A,#N/A,FALSE,"골재소요량"}</definedName>
    <definedName name="ㅈㅈㅈ" hidden="1">{#N/A,#N/A,FALSE,"표지목차"}</definedName>
    <definedName name="ㅈㅈㅈㅈ" hidden="1">{#N/A,#N/A,FALSE,"명세표"}</definedName>
    <definedName name="ㅈㅈㅈㅈㅈ" hidden="1">{#N/A,#N/A,FALSE,"혼합골재"}</definedName>
    <definedName name="자금수지" hidden="1">#REF!</definedName>
    <definedName name="자미" hidden="1">{#N/A,#N/A,FALSE,"명세표"}</definedName>
    <definedName name="자재1" hidden="1">{#N/A,#N/A,FALSE,"포장2"}</definedName>
    <definedName name="자재2" hidden="1">{#N/A,#N/A,FALSE,"구조2"}</definedName>
    <definedName name="자재기준" hidden="1">{#N/A,#N/A,TRUE,"Y생산";#N/A,#N/A,TRUE,"Y판매";#N/A,#N/A,TRUE,"Y총물량";#N/A,#N/A,TRUE,"Y능력";#N/A,#N/A,TRUE,"YKD"}</definedName>
    <definedName name="자재단가" hidden="1">{#N/A,#N/A,FALSE,"2~8번"}</definedName>
    <definedName name="자재단가근거" hidden="1">#REF!</definedName>
    <definedName name="자재및골재집계" hidden="1">{"'Sheet1'!$A$4","'Sheet1'!$A$9:$G$28"}</definedName>
    <definedName name="자재요약" hidden="1">{#N/A,#N/A,FALSE,"현장 NCR 분석";#N/A,#N/A,FALSE,"현장품질감사";#N/A,#N/A,FALSE,"현장품질감사"}</definedName>
    <definedName name="자판기" hidden="1">{#N/A,#N/A,FALSE,"UNIT";#N/A,#N/A,FALSE,"UNIT";#N/A,#N/A,FALSE,"계정"}</definedName>
    <definedName name="작업분" hidden="1">{#N/A,#N/A,FALSE,"토공2"}</definedName>
    <definedName name="잔여공정표" hidden="1">{#N/A,#N/A,FALSE,"Sheet1"}</definedName>
    <definedName name="잘자" hidden="1">{#N/A,#N/A,FALSE,"현장 NCR 분석";#N/A,#N/A,FALSE,"현장품질감사";#N/A,#N/A,FALSE,"현장품질감사"}</definedName>
    <definedName name="잡비" hidden="1">#REF!</definedName>
    <definedName name="잡철공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잡철공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장" hidden="1">{"'정산내역서'!$A$1:$I$35","'정산서(절.성토부)'!$A$1:$Q$17","'정산서(교량부)'!$A$1:$Q$84","'총괄표'!$A$1:$M$12","'시행현황'!$A$1:$G$12","'표지'!$A$1:$N$27","'정산서(절.성토부)'!$A$3:$Q$7"}</definedName>
    <definedName name="장량" hidden="1">#REF!</definedName>
    <definedName name="장비" hidden="1">{#N/A,#N/A,FALSE,"단가표지"}</definedName>
    <definedName name="장비바보" hidden="1">{#N/A,#N/A,FALSE,"조골재"}</definedName>
    <definedName name="장비사랑" hidden="1">{#N/A,#N/A,FALSE,"운반시간"}</definedName>
    <definedName name="장비운반" hidden="1">{#N/A,#N/A,FALSE,"운반시간"}</definedName>
    <definedName name="장비투입계획검토" hidden="1">{#N/A,#N/A,FALSE,"전력간선"}</definedName>
    <definedName name="장선2호" hidden="1">{"'중기작업1'!$A$1:$V$18"}</definedName>
    <definedName name="장선2호산출" hidden="1">{"'중기작업1'!$A$1:$V$18"}</definedName>
    <definedName name="장위" hidden="1">#REF!</definedName>
    <definedName name="재" hidden="1">#REF!</definedName>
    <definedName name="재견적서" hidden="1">{#N/A,#N/A,FALSE,"전력간선"}</definedName>
    <definedName name="재료노무합계" hidden="1">{"'건축내역'!$A$1:$L$413"}</definedName>
    <definedName name="쟈" hidden="1">{#N/A,#N/A,FALSE,"단면 제원"}</definedName>
    <definedName name="저" hidden="1">{#N/A,#N/A,FALSE,"단면 제원"}</definedName>
    <definedName name="저온" hidden="1">{#N/A,#N/A,FALSE,"견적갑지";#N/A,#N/A,FALSE,"총괄표";#N/A,#N/A,FALSE,"철골공사";#N/A,#N/A,FALSE,"토목공사";#N/A,#N/A,FALSE,"판넬전기공사"}</definedName>
    <definedName name="저온1" hidden="1">{#N/A,#N/A,FALSE,"견적갑지";#N/A,#N/A,FALSE,"총괄표";#N/A,#N/A,FALSE,"철골공사";#N/A,#N/A,FALSE,"토목공사";#N/A,#N/A,FALSE,"판넬전기공사"}</definedName>
    <definedName name="저온냉동" hidden="1">{#N/A,#N/A,FALSE,"견적갑지";#N/A,#N/A,FALSE,"총괄표";#N/A,#N/A,FALSE,"철골공사";#N/A,#N/A,FALSE,"토목공사";#N/A,#N/A,FALSE,"판넬전기공사"}</definedName>
    <definedName name="저온설비" hidden="1">{#N/A,#N/A,FALSE,"견적갑지";#N/A,#N/A,FALSE,"총괄표";#N/A,#N/A,FALSE,"철골공사";#N/A,#N/A,FALSE,"토목공사";#N/A,#N/A,FALSE,"판넬전기공사"}</definedName>
    <definedName name="저온저장고" hidden="1">{#N/A,#N/A,FALSE,"견적갑지";#N/A,#N/A,FALSE,"총괄표";#N/A,#N/A,FALSE,"철골공사";#N/A,#N/A,FALSE,"토목공사";#N/A,#N/A,FALSE,"판넬전기공사"}</definedName>
    <definedName name="저온집계" hidden="1">{#N/A,#N/A,FALSE,"견적갑지";#N/A,#N/A,FALSE,"총괄표";#N/A,#N/A,FALSE,"철골공사";#N/A,#N/A,FALSE,"토목공사";#N/A,#N/A,FALSE,"판넬전기공사"}</definedName>
    <definedName name="전기1" hidden="1">{#N/A,#N/A,FALSE,"견적갑지";#N/A,#N/A,FALSE,"총괄표";#N/A,#N/A,FALSE,"철골공사";#N/A,#N/A,FALSE,"토목공사";#N/A,#N/A,FALSE,"판넬전기공사"}</definedName>
    <definedName name="전기4" hidden="1">{#N/A,#N/A,FALSE,"견적갑지";#N/A,#N/A,FALSE,"총괄표";#N/A,#N/A,FALSE,"철골공사";#N/A,#N/A,FALSE,"토목공사";#N/A,#N/A,FALSE,"판넬전기공사"}</definedName>
    <definedName name="전기산출" hidden="1">#REF!</definedName>
    <definedName name="전기산출내역" hidden="1">#REF!</definedName>
    <definedName name="전기특기조건" hidden="1">{#N/A,#N/A,FALSE,"현장 NCR 분석";#N/A,#N/A,FALSE,"현장품질감사";#N/A,#N/A,FALSE,"현장품질감사"}</definedName>
    <definedName name="전기특기조건1" hidden="1">{#N/A,#N/A,FALSE,"현장 NCR 분석";#N/A,#N/A,FALSE,"현장품질감사";#N/A,#N/A,FALSE,"현장품질감사"}</definedName>
    <definedName name="전라선" localSheetId="0" hidden="1">{#N/A,#N/A,FALSE,"현장 NCR 분석";#N/A,#N/A,FALSE,"현장품질감사";#N/A,#N/A,FALSE,"현장품질감사"}</definedName>
    <definedName name="전라선" hidden="1">{#N/A,#N/A,FALSE,"현장 NCR 분석";#N/A,#N/A,FALSE,"현장품질감사";#N/A,#N/A,FALSE,"현장품질감사"}</definedName>
    <definedName name="전서오" hidden="1">{#N/A,#N/A,FALSE,"현장 NCR 분석";#N/A,#N/A,FALSE,"현장품질감사";#N/A,#N/A,FALSE,"현장품질감사"}</definedName>
    <definedName name="전석" hidden="1">{#N/A,#N/A,FALSE,"골재소요량";#N/A,#N/A,FALSE,"골재소요량"}</definedName>
    <definedName name="전석쌓기면적조서" hidden="1">{"'Sheet1'!$A$4","'Sheet1'!$A$9:$G$28"}</definedName>
    <definedName name="전석쌓기면적조서3공구" hidden="1">{"'Sheet1'!$A$4","'Sheet1'!$A$9:$G$28"}</definedName>
    <definedName name="전선"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전선조장" hidden="1">#REF!</definedName>
    <definedName name="전시장비노임단가" hidden="1">{"SJ - 기본 보기",#N/A,FALSE,"공사별 외주견적"}</definedName>
    <definedName name="전안" hidden="1">{#N/A,#N/A,FALSE,"Sheet1"}</definedName>
    <definedName name="전열1" hidden="1">{#N/A,#N/A,FALSE,"UNIT";#N/A,#N/A,FALSE,"UNIT";#N/A,#N/A,FALSE,"계정"}</definedName>
    <definedName name="전차종" hidden="1">{#N/A,#N/A,FALSE,"표지";#N/A,#N/A,FALSE,"전제";#N/A,#N/A,FALSE,"대당";#N/A,#N/A,FALSE,"가공비";#N/A,#N/A,FALSE,"재료비";#N/A,#N/A,FALSE,"손익"}</definedName>
    <definedName name="전철" hidden="1">0</definedName>
    <definedName name="전체내역" hidden="1">#REF!</definedName>
    <definedName name="전체제조총괄표" localSheetId="0" hidden="1">{"'건축내역'!$A$1:$L$413"}</definedName>
    <definedName name="전체제조총괄표" hidden="1">{"'건축내역'!$A$1:$L$413"}</definedName>
    <definedName name="절" hidden="1">#REF!</definedName>
    <definedName name="접속A2" hidden="1">{#N/A,#N/A,FALSE,"단면 제원"}</definedName>
    <definedName name="접속부" hidden="1">{#N/A,#N/A,FALSE,"2~8번"}</definedName>
    <definedName name="접지재"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정" hidden="1">#REF!</definedName>
    <definedName name="정리" hidden="1">{#N/A,#N/A,FALSE,"CCTV"}</definedName>
    <definedName name="정말" hidden="1">{#N/A,#N/A,FALSE,"현장 NCR 분석";#N/A,#N/A,FALSE,"현장품질감사";#N/A,#N/A,FALSE,"현장품질감사"}</definedName>
    <definedName name="정민" hidden="1">{"'단가비교'!$A$1:$Q$21"}</definedName>
    <definedName name="정산" hidden="1">#REF!</definedName>
    <definedName name="정산기초1" hidden="1">{#N/A,#N/A,FALSE,"현장 NCR 분석";#N/A,#N/A,FALSE,"현장품질감사";#N/A,#N/A,FALSE,"현장품질감사"}</definedName>
    <definedName name="정산기초11" hidden="1">{#N/A,#N/A,FALSE,"현장 NCR 분석";#N/A,#N/A,FALSE,"현장품질감사";#N/A,#N/A,FALSE,"현장품질감사"}</definedName>
    <definedName name="정산설명1" hidden="1">{#N/A,#N/A,FALSE,"현장 NCR 분석";#N/A,#N/A,FALSE,"현장품질감사";#N/A,#N/A,FALSE,"현장품질감사"}</definedName>
    <definedName name="정산집계표" hidden="1">{#N/A,#N/A,FALSE,"현장 NCR 분석";#N/A,#N/A,FALSE,"현장품질감사";#N/A,#N/A,FALSE,"현장품질감사"}</definedName>
    <definedName name="정산표" hidden="1">{#N/A,#N/A,FALSE,"현장 NCR 분석";#N/A,#N/A,FALSE,"현장품질감사";#N/A,#N/A,FALSE,"현장품질감사"}</definedName>
    <definedName name="정손익" hidden="1">{#N/A,#N/A,FALSE,"현장 NCR 분석";#N/A,#N/A,FALSE,"현장품질감사";#N/A,#N/A,FALSE,"현장품질감사"}</definedName>
    <definedName name="정수" hidden="1">{#N/A,#N/A,FALSE,"현장 NCR 분석";#N/A,#N/A,FALSE,"현장품질감사";#N/A,#N/A,FALSE,"현장품질감사"}</definedName>
    <definedName name="정수용" hidden="1">{#N/A,#N/A,TRUE,"Y생산";#N/A,#N/A,TRUE,"Y판매";#N/A,#N/A,TRUE,"Y총물량";#N/A,#N/A,TRUE,"Y능력";#N/A,#N/A,TRUE,"YKD"}</definedName>
    <definedName name="정숙이" hidden="1">{#N/A,#N/A,FALSE,"현장 NCR 분석";#N/A,#N/A,FALSE,"현장품질감사";#N/A,#N/A,FALSE,"현장품질감사"}</definedName>
    <definedName name="정정아" hidden="1">{#N/A,#N/A,FALSE,"현장 NCR 분석";#N/A,#N/A,FALSE,"현장품질감사";#N/A,#N/A,FALSE,"현장품질감사"}</definedName>
    <definedName name="정징" hidden="1">{#N/A,#N/A,TRUE,"Y생산";#N/A,#N/A,TRUE,"Y판매";#N/A,#N/A,TRUE,"Y총물량";#N/A,#N/A,TRUE,"Y능력";#N/A,#N/A,TRUE,"YKD"}</definedName>
    <definedName name="제" localSheetId="0" hidden="1">#REF!</definedName>
    <definedName name="제" hidden="1">{#N/A,#N/A,FALSE,"단면 제원"}</definedName>
    <definedName name="제3배스집계" hidden="1">{#N/A,#N/A,FALSE,"단면 제원"}</definedName>
    <definedName name="제4배수" hidden="1">{#N/A,#N/A,FALSE,"단면 제원"}</definedName>
    <definedName name="제4배수집계" hidden="1">{#N/A,#N/A,FALSE,"단면 제원"}</definedName>
    <definedName name="제5배수집계" hidden="1">{#N/A,#N/A,FALSE,"단면 제원"}</definedName>
    <definedName name="제수문" hidden="1">#REF!</definedName>
    <definedName name="제외공사" hidden="1">{#N/A,#N/A,FALSE,"지침";#N/A,#N/A,FALSE,"환경분석";#N/A,#N/A,FALSE,"Sheet16"}</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문" hidden="1">{#N/A,#N/A,FALSE,"현장 NCR 분석";#N/A,#N/A,FALSE,"현장품질감사";#N/A,#N/A,FALSE,"현장품질감사"}</definedName>
    <definedName name="조" hidden="1">{"'Firr(선)'!$AS$1:$AY$62","'Firr(사)'!$AS$1:$AY$62","'Firr(회)'!$AS$1:$AY$62","'Firr(선)'!$L$1:$V$62","'Firr(사)'!$L$1:$V$62","'Firr(회)'!$L$1:$V$62"}</definedName>
    <definedName name="조경1" hidden="1">{#N/A,#N/A,FALSE,"현장 NCR 분석";#N/A,#N/A,FALSE,"현장품질감사";#N/A,#N/A,FALSE,"현장품질감사"}</definedName>
    <definedName name="조골대" hidden="1">{#N/A,#N/A,FALSE,"조골재"}</definedName>
    <definedName name="조달" hidden="1">{#N/A,#N/A,FALSE,"전열산출서"}</definedName>
    <definedName name="조달내역서" hidden="1">{#N/A,#N/A,FALSE,"Sheet1"}</definedName>
    <definedName name="조달뭎" hidden="1">{#N/A,#N/A,FALSE,"전열산출서"}</definedName>
    <definedName name="조립" hidden="1">{#N/A,#N/A,FALSE,"단축1";#N/A,#N/A,FALSE,"단축2";#N/A,#N/A,FALSE,"단축3";#N/A,#N/A,FALSE,"장축";#N/A,#N/A,FALSE,"4WD"}</definedName>
    <definedName name="조사가" hidden="1">#REF!</definedName>
    <definedName name="조용영" hidden="1">{#N/A,#N/A,FALSE,"Sheet1"}</definedName>
    <definedName name="조정1" hidden="1">#REF!</definedName>
    <definedName name="조정단가1" hidden="1">{#N/A,#N/A,FALSE,"현장 NCR 분석";#N/A,#N/A,FALSE,"현장품질감사";#N/A,#N/A,FALSE,"현장품질감사"}</definedName>
    <definedName name="조정단가2" hidden="1">{#N/A,#N/A,FALSE,"현장 NCR 분석";#N/A,#N/A,FALSE,"현장품질감사";#N/A,#N/A,FALSE,"현장품질감사"}</definedName>
    <definedName name="조정요율" hidden="1">#REF!</definedName>
    <definedName name="조조" hidden="1">{"'Firr(선)'!$AS$1:$AY$62","'Firr(사)'!$AS$1:$AY$62","'Firr(회)'!$AS$1:$AY$62","'Firr(선)'!$L$1:$V$62","'Firr(사)'!$L$1:$V$62","'Firr(회)'!$L$1:$V$62"}</definedName>
    <definedName name="조조조" hidden="1">{#N/A,#N/A,TRUE,"Y생산";#N/A,#N/A,TRUE,"Y판매";#N/A,#N/A,TRUE,"Y총물량";#N/A,#N/A,TRUE,"Y능력";#N/A,#N/A,TRUE,"YKD"}</definedName>
    <definedName name="조직도" hidden="1">#REF!</definedName>
    <definedName name="조차장" hidden="1">{#N/A,#N/A,FALSE,"명세표"}</definedName>
    <definedName name="조치" hidden="1">{#N/A,#N/A,FALSE,"단축1";#N/A,#N/A,FALSE,"단축2";#N/A,#N/A,FALSE,"단축3";#N/A,#N/A,FALSE,"장축";#N/A,#N/A,FALSE,"4WD"}</definedName>
    <definedName name="조효" localSheetId="0" hidden="1">{"'Firr(선)'!$AS$1:$AY$62","'Firr(사)'!$AS$1:$AY$62","'Firr(회)'!$AS$1:$AY$62","'Firr(선)'!$L$1:$V$62","'Firr(사)'!$L$1:$V$62","'Firr(회)'!$L$1:$V$62"}</definedName>
    <definedName name="조효" hidden="1">{"'Firr(선)'!$AS$1:$AY$62","'Firr(사)'!$AS$1:$AY$62","'Firr(회)'!$AS$1:$AY$62","'Firr(선)'!$L$1:$V$62","'Firr(사)'!$L$1:$V$62","'Firr(회)'!$L$1:$V$62"}</definedName>
    <definedName name="조효석" localSheetId="0" hidden="1">{"'Firr(선)'!$AS$1:$AY$62","'Firr(사)'!$AS$1:$AY$62","'Firr(회)'!$AS$1:$AY$62","'Firr(선)'!$L$1:$V$62","'Firr(사)'!$L$1:$V$62","'Firr(회)'!$L$1:$V$62"}</definedName>
    <definedName name="조효석" hidden="1">{"'Firr(선)'!$AS$1:$AY$62","'Firr(사)'!$AS$1:$AY$62","'Firr(회)'!$AS$1:$AY$62","'Firr(선)'!$L$1:$V$62","'Firr(사)'!$L$1:$V$62","'Firr(회)'!$L$1:$V$62"}</definedName>
    <definedName name="종" hidden="1">#REF!</definedName>
    <definedName name="종자" hidden="1">{#N/A,#N/A,FALSE,"현장 NCR 분석";#N/A,#N/A,FALSE,"현장품질감사";#N/A,#N/A,FALSE,"현장품질감사"}</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좌안" hidden="1">{"'Sheet1'!$A$4","'Sheet1'!$A$9:$G$28"}</definedName>
    <definedName name="죠" hidden="1">{#N/A,#N/A,FALSE,"단면 제원"}</definedName>
    <definedName name="죳ㅁ" hidden="1">{#N/A,#N/A,FALSE,"토공2"}</definedName>
    <definedName name="주간" hidden="1">{#N/A,#N/A,FALSE,"지침";#N/A,#N/A,FALSE,"환경분석";#N/A,#N/A,FALSE,"Sheet16"}</definedName>
    <definedName name="주요" hidden="1">{#N/A,#N/A,TRUE,"Y생산";#N/A,#N/A,TRUE,"Y판매";#N/A,#N/A,TRUE,"Y총물량";#N/A,#N/A,TRUE,"Y능력";#N/A,#N/A,TRUE,"YKD"}</definedName>
    <definedName name="주요업무" hidden="1">{#N/A,#N/A,TRUE,"Y생산";#N/A,#N/A,TRUE,"Y판매";#N/A,#N/A,TRUE,"Y총물량";#N/A,#N/A,TRUE,"Y능력";#N/A,#N/A,TRUE,"YKD"}</definedName>
    <definedName name="주요업무2" hidden="1">{#N/A,#N/A,TRUE,"Y생산";#N/A,#N/A,TRUE,"Y판매";#N/A,#N/A,TRUE,"Y총물량";#N/A,#N/A,TRUE,"Y능력";#N/A,#N/A,TRUE,"YKD"}</definedName>
    <definedName name="주요업무3" hidden="1">{#N/A,#N/A,TRUE,"Y생산";#N/A,#N/A,TRUE,"Y판매";#N/A,#N/A,TRUE,"Y총물량";#N/A,#N/A,TRUE,"Y능력";#N/A,#N/A,TRUE,"YKD"}</definedName>
    <definedName name="주요자재" hidden="1">{#N/A,#N/A,FALSE,"표지목차"}</definedName>
    <definedName name="주주" hidden="1">{#N/A,#N/A,FALSE,"2~8번"}</definedName>
    <definedName name="죽전1" hidden="1">{#N/A,#N/A,FALSE,"현장 NCR 분석";#N/A,#N/A,FALSE,"현장품질감사";#N/A,#N/A,FALSE,"현장품질감사"}</definedName>
    <definedName name="죽전5차" hidden="1">{#N/A,#N/A,FALSE,"이태원철근"}</definedName>
    <definedName name="중개태교" hidden="1">{#N/A,#N/A,FALSE,"2~8번"}</definedName>
    <definedName name="중관리" hidden="1">{#N/A,#N/A,FALSE,"포장단가"}</definedName>
    <definedName name="중기테이블" hidden="1">{"'중기작업1'!$A$1:$V$18"}</definedName>
    <definedName name="중량산출" hidden="1">{#N/A,#N/A,FALSE,"Sheet1"}</definedName>
    <definedName name="중산" hidden="1">255</definedName>
    <definedName name="중앙" hidden="1">{#N/A,#N/A,FALSE,"단축1";#N/A,#N/A,FALSE,"단축2";#N/A,#N/A,FALSE,"단축3";#N/A,#N/A,FALSE,"장축";#N/A,#N/A,FALSE,"4WD"}</definedName>
    <definedName name="중추2교대거푸집집계" hidden="1">{#N/A,#N/A,FALSE,"배수1"}</definedName>
    <definedName name="쥬" hidden="1">{#N/A,#N/A,FALSE,"단면 제원"}</definedName>
    <definedName name="즈" hidden="1">{#N/A,#N/A,FALSE,"단면 제원"}</definedName>
    <definedName name="증감내역" hidden="1">#REF!</definedName>
    <definedName name="증감내역2" hidden="1">{#N/A,#N/A,FALSE,"현장 NCR 분석";#N/A,#N/A,FALSE,"현장품질감사";#N/A,#N/A,FALSE,"현장품질감사"}</definedName>
    <definedName name="증감내역서" hidden="1">{#N/A,#N/A,FALSE,"현장 NCR 분석";#N/A,#N/A,FALSE,"현장품질감사";#N/A,#N/A,FALSE,"현장품질감사"}</definedName>
    <definedName name="증감내역양식" hidden="1">{#N/A,#N/A,FALSE,"현장 NCR 분석";#N/A,#N/A,FALSE,"현장품질감사";#N/A,#N/A,FALSE,"현장품질감사"}</definedName>
    <definedName name="지" hidden="1">{#N/A,#N/A,FALSE,"견적갑지";#N/A,#N/A,FALSE,"총괄표";#N/A,#N/A,FALSE,"철골공사";#N/A,#N/A,FALSE,"토목공사";#N/A,#N/A,FALSE,"판넬전기공사"}</definedName>
    <definedName name="지구내토공총괄표" hidden="1">{#N/A,#N/A,FALSE,"운반시간"}</definedName>
    <definedName name="지급" hidden="1">{#N/A,#N/A,FALSE,"견적갑지";#N/A,#N/A,FALSE,"총괄표";#N/A,#N/A,FALSE,"철골공사";#N/A,#N/A,FALSE,"토목공사";#N/A,#N/A,FALSE,"판넬전기공사"}</definedName>
    <definedName name="지명승인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시부" hidden="1">{#N/A,#N/A,FALSE,"현장 NCR 분석";#N/A,#N/A,FALSE,"현장품질감사";#N/A,#N/A,FALSE,"현장품질감사"}</definedName>
    <definedName name="지역업체" hidden="1">{#N/A,#N/A,FALSE,"배수2"}</definedName>
    <definedName name="지우기" hidden="1">{#N/A,#N/A,FALSE,"포장2"}</definedName>
    <definedName name="지움" hidden="1">{#N/A,#N/A,FALSE,"속도"}</definedName>
    <definedName name="지움2" hidden="1">{#N/A,#N/A,FALSE,"토공2"}</definedName>
    <definedName name="지움3" hidden="1">{#N/A,#N/A,FALSE,"표지목차"}</definedName>
    <definedName name="지적공사" hidden="1">{#N/A,#N/A,FALSE,"현장 NCR 분석";#N/A,#N/A,FALSE,"현장품질감사";#N/A,#N/A,FALSE,"현장품질감사"}</definedName>
    <definedName name="지중" hidden="1">{#N/A,#N/A,FALSE,"명세표"}</definedName>
    <definedName name="지철" hidden="1">{#N/A,#N/A,FALSE,"포장2"}</definedName>
    <definedName name="지철자재" hidden="1">{#N/A,#N/A,FALSE,"포장2"}</definedName>
    <definedName name="지태면" hidden="1">{#N/A,#N/A,TRUE,"Y생산";#N/A,#N/A,TRUE,"Y판매";#N/A,#N/A,TRUE,"Y총물량";#N/A,#N/A,TRUE,"Y능력";#N/A,#N/A,TRUE,"YKD"}</definedName>
    <definedName name="지토" hidden="1">{#N/A,#N/A,FALSE,"포장1";#N/A,#N/A,FALSE,"포장1"}</definedName>
    <definedName name="지토자재" hidden="1">{#N/A,#N/A,FALSE,"포장2"}</definedName>
    <definedName name="지표" hidden="1">#REF!</definedName>
    <definedName name="직매54P" localSheetId="0" hidden="1">{#N/A,#N/A,TRUE,"토적및재료집계";#N/A,#N/A,TRUE,"토적및재료집계";#N/A,#N/A,TRUE,"단위량"}</definedName>
    <definedName name="직매54P" hidden="1">{#N/A,#N/A,TRUE,"토적및재료집계";#N/A,#N/A,TRUE,"토적및재료집계";#N/A,#N/A,TRUE,"단위량"}</definedName>
    <definedName name="직원조직" hidden="1">{#N/A,#N/A,FALSE,"이태원철근"}</definedName>
    <definedName name="직원조직표" hidden="1">{#N/A,#N/A,FALSE,"이태원철근"}</definedName>
    <definedName name="진" hidden="1">{#N/A,#N/A,FALSE,"2~8번"}</definedName>
    <definedName name="진오" hidden="1">{"'Firr(선)'!$AS$1:$AY$62","'Firr(사)'!$AS$1:$AY$62","'Firr(회)'!$AS$1:$AY$62","'Firr(선)'!$L$1:$V$62","'Firr(사)'!$L$1:$V$62","'Firr(회)'!$L$1:$V$62"}</definedName>
    <definedName name="진웅" hidden="1">{#N/A,#N/A,FALSE,"Sheet1"}</definedName>
    <definedName name="진입로측량1" hidden="1">#REF!</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진해" hidden="1">#REF!</definedName>
    <definedName name="집계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수정" hidden="1">#REF!</definedName>
    <definedName name="집수정1" hidden="1">#REF!</definedName>
    <definedName name="집수정토공" hidden="1">#N/A</definedName>
    <definedName name="ㅉ" hidden="1">{#N/A,#N/A,TRUE,"Y생산";#N/A,#N/A,TRUE,"Y판매";#N/A,#N/A,TRUE,"Y총물량";#N/A,#N/A,TRUE,"Y능력";#N/A,#N/A,TRUE,"YKD"}</definedName>
    <definedName name="쪼까고있네" hidden="1">{#N/A,#N/A,FALSE,"토공2"}</definedName>
    <definedName name="쪼당" hidden="1">{#N/A,#N/A,TRUE,"Y생산";#N/A,#N/A,TRUE,"Y판매";#N/A,#N/A,TRUE,"Y총물량";#N/A,#N/A,TRUE,"Y능력";#N/A,#N/A,TRUE,"YKD"}</definedName>
    <definedName name="ㅊ" localSheetId="0" hidden="1">{#N/A,#N/A,FALSE,"운반시간"}</definedName>
    <definedName name="ㅊ" hidden="1">{#N/A,#N/A,FALSE,"현장 NCR 분석";#N/A,#N/A,FALSE,"현장품질감사";#N/A,#N/A,FALSE,"현장품질감사"}</definedName>
    <definedName name="ㅊㄴㅇㄴ" hidden="1">{"총괄자금운영표",#N/A,FALSE,"자금운영표";"1단계자금운영표(불변)",#N/A,FALSE,"자금운영표";"2단계자금운영표(불변)",#N/A,FALSE,"자금운영표"}</definedName>
    <definedName name="ㅊㄴ츄" hidden="1">{"추정대차대조표",#N/A,FALSE,"추정BS"}</definedName>
    <definedName name="ㅊㄹ11212" hidden="1">{"부대사업공정율",#N/A,FALSE,"배후단지 및 부대사업"}</definedName>
    <definedName name="ㅊㅊ" localSheetId="0" hidden="1">{#N/A,#N/A,FALSE,"혼합골재"}</definedName>
    <definedName name="ㅊㅊ" hidden="1">{#N/A,#N/A,FALSE,"전력간선"}</definedName>
    <definedName name="ㅊㅊㅊ" hidden="1">{#N/A,#N/A,FALSE,"운반시간"}</definedName>
    <definedName name="ㅊㅊㅊㅊㅊ" hidden="1">{#N/A,#N/A,FALSE,"단가표지"}</definedName>
    <definedName name="ㅊㅊㅊㅊㅊㅊ" hidden="1">{#N/A,#N/A,FALSE,"조골재"}</definedName>
    <definedName name="ㅊㅊㅊㅊㅊㅊㅊ" hidden="1">{#N/A,#N/A,FALSE,"표지목차"}</definedName>
    <definedName name="ㅊㅊㅍㅊ12121" hidden="1">{"부대사업본사업연결자료",#N/A,FALSE,"배후단지및부대사업연결"}</definedName>
    <definedName name="ㅊㅍ" hidden="1">#REF!</definedName>
    <definedName name="ㅊㅍㅋㅌㅊㅋ" hidden="1">{#N/A,#N/A,FALSE,"운반시간"}</definedName>
    <definedName name="ㅊㅍㅋㅌㅍㅌ" hidden="1">{#N/A,#N/A,FALSE,"혼합골재"}</definedName>
    <definedName name="ㅊㅍㅌㅋㅀ" hidden="1">{#N/A,#N/A,FALSE,"구조1"}</definedName>
    <definedName name="ㅊ퓿ㅍ" hidden="1">{#N/A,#N/A,FALSE,"혼합골재"}</definedName>
    <definedName name="ㅊㅎㄴㅁ" hidden="1">{#N/A,#N/A,FALSE,"구조2"}</definedName>
    <definedName name="ㅊ혼ㅊ" hidden="1">{#N/A,#N/A,FALSE,"구조2"}</definedName>
    <definedName name="차" hidden="1">{#N/A,#N/A,FALSE,"속도"}</definedName>
    <definedName name="차량" hidden="1">{#N/A,#N/A,FALSE,"UNIT";#N/A,#N/A,FALSE,"UNIT";#N/A,#N/A,FALSE,"계정"}</definedName>
    <definedName name="차량SVC" hidden="1">{#N/A,#N/A,FALSE,"UNIT";#N/A,#N/A,FALSE,"UNIT";#N/A,#N/A,FALSE,"계정"}</definedName>
    <definedName name="차종별" hidden="1">{#N/A,#N/A,TRUE,"Y생산";#N/A,#N/A,TRUE,"Y판매";#N/A,#N/A,TRUE,"Y총물량";#N/A,#N/A,TRUE,"Y능력";#N/A,#N/A,TRUE,"YKD"}</definedName>
    <definedName name="차차" hidden="1">#REF!</definedName>
    <definedName name="찰샇기" hidden="1">#REF!</definedName>
    <definedName name="참가" hidden="1">#REF!</definedName>
    <definedName name="참고용" hidden="1">{#N/A,#N/A,FALSE,"배수1"}</definedName>
    <definedName name="참석자" localSheetId="0" hidden="1">{#N/A,#N/A,FALSE,"현장 NCR 분석";#N/A,#N/A,FALSE,"현장품질감사";#N/A,#N/A,FALSE,"현장품질감사"}</definedName>
    <definedName name="참석자" hidden="1">{#N/A,#N/A,FALSE,"현장 NCR 분석";#N/A,#N/A,FALSE,"현장품질감사";#N/A,#N/A,FALSE,"현장품질감사"}</definedName>
    <definedName name="참석자2" hidden="1">{#N/A,#N/A,FALSE,"현장 NCR 분석";#N/A,#N/A,FALSE,"현장품질감사";#N/A,#N/A,FALSE,"현장품질감사"}</definedName>
    <definedName name="창호" hidden="1">{#N/A,#N/A,FALSE,"갑지";#N/A,#N/A,FALSE,"개요";#N/A,#N/A,FALSE,"비목별";#N/A,#N/A,FALSE,"건물별";#N/A,#N/A,FALSE,"기구표";#N/A,#N/A,FALSE,"직원투입"}</definedName>
    <definedName name="천막지" hidden="1">{#N/A,#N/A,FALSE,"단가표지"}</definedName>
    <definedName name="천안역방향간지" hidden="1">{#N/A,#N/A,FALSE,"배수2"}</definedName>
    <definedName name="천연공사갑지" hidden="1">#REF!</definedName>
    <definedName name="철2" hidden="1">{#N/A,#N/A,FALSE,"혼합골재"}</definedName>
    <definedName name="철거2" hidden="1">{#N/A,#N/A,FALSE,"현장 NCR 분석";#N/A,#N/A,FALSE,"현장품질감사";#N/A,#N/A,FALSE,"현장품질감사"}</definedName>
    <definedName name="철거기벼" hidden="1">#REF!</definedName>
    <definedName name="철거도" hidden="1">{"'Firr(선)'!$AS$1:$AY$62","'Firr(사)'!$AS$1:$AY$62","'Firr(회)'!$AS$1:$AY$62","'Firr(선)'!$L$1:$V$62","'Firr(사)'!$L$1:$V$62","'Firr(회)'!$L$1:$V$62"}</definedName>
    <definedName name="철골"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철골공사시방서" hidden="1">{#N/A,#N/A,FALSE,"현장 NCR 분석";#N/A,#N/A,FALSE,"현장품질감사";#N/A,#N/A,FALSE,"현장품질감사"}</definedName>
    <definedName name="철골집" hidden="1">{#N/A,#N/A,FALSE,"Sheet1"}</definedName>
    <definedName name="철골협의" localSheetId="0" hidden="1">{#N/A,#N/A,FALSE,"현장 NCR 분석";#N/A,#N/A,FALSE,"현장품질감사";#N/A,#N/A,FALSE,"현장품질감사"}</definedName>
    <definedName name="철골협의" hidden="1">{#N/A,#N/A,FALSE,"현장 NCR 분석";#N/A,#N/A,FALSE,"현장품질감사";#N/A,#N/A,FALSE,"현장품질감사"}</definedName>
    <definedName name="철구공문" hidden="1">{#N/A,#N/A,FALSE,"현장 NCR 분석";#N/A,#N/A,FALSE,"현장품질감사";#N/A,#N/A,FALSE,"현장품질감사"}</definedName>
    <definedName name="철근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철근가공장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철근공제" hidden="1">{#N/A,#N/A,FALSE,"포장2"}</definedName>
    <definedName name="철근자료" hidden="1">#REF!</definedName>
    <definedName name="철근집계" hidden="1">{#N/A,#N/A,FALSE,"단가표지"}</definedName>
    <definedName name="철근총괄1" hidden="1">{#N/A,#N/A,FALSE,"표지목차"}</definedName>
    <definedName name="철콘부대외" hidden="1">{#N/A,#N/A,FALSE,"Sheet1"}</definedName>
    <definedName name="철탑철거" hidden="1">{#N/A,#N/A,FALSE,"현장 NCR 분석";#N/A,#N/A,FALSE,"현장품질감사";#N/A,#N/A,FALSE,"현장품질감사"}</definedName>
    <definedName name="철탑철거2" hidden="1">{#N/A,#N/A,FALSE,"현장 NCR 분석";#N/A,#N/A,FALSE,"현장품질감사";#N/A,#N/A,FALSE,"현장품질감사"}</definedName>
    <definedName name="청노" hidden="1">#REF!</definedName>
    <definedName name="체크아웃시스템" hidden="1">{#N/A,#N/A,FALSE,"견적갑지";#N/A,#N/A,FALSE,"총괄표";#N/A,#N/A,FALSE,"철골공사";#N/A,#N/A,FALSE,"토목공사";#N/A,#N/A,FALSE,"판넬전기공사"}</definedName>
    <definedName name="총" hidden="1">{#N/A,#N/A,FALSE,"부대1"}</definedName>
    <definedName name="총갑지" hidden="1">#REF!</definedName>
    <definedName name="총공" hidden="1">{#N/A,#N/A,FALSE,"운반시간"}</definedName>
    <definedName name="총공사비" hidden="1">{#N/A,#N/A,FALSE,"전력간선"}</definedName>
    <definedName name="총괄" hidden="1">{#N/A,#N/A,TRUE,"Y생산";#N/A,#N/A,TRUE,"Y판매";#N/A,#N/A,TRUE,"Y총물량";#N/A,#N/A,TRUE,"Y능력";#N/A,#N/A,TRUE,"YKD"}</definedName>
    <definedName name="총괄2" hidden="1">{#N/A,#N/A,FALSE,"현장 NCR 분석";#N/A,#N/A,FALSE,"현장품질감사";#N/A,#N/A,FALSE,"현장품질감사"}</definedName>
    <definedName name="총괄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총괄내역" hidden="1">#REF!</definedName>
    <definedName name="총괄내역서" hidden="1">{#N/A,#N/A,TRUE,"운반시간"}</definedName>
    <definedName name="총괄제출2차" hidden="1">#REF!</definedName>
    <definedName name="총괄집계" hidden="1">{#N/A,#N/A,FALSE,"명세표"}</definedName>
    <definedName name="총괄표" hidden="1">{#N/A,#N/A,TRUE,"총괄"}</definedName>
    <definedName name="총괄표3" localSheetId="0" hidden="1">{#N/A,#N/A,FALSE,"현장 NCR 분석";#N/A,#N/A,FALSE,"현장품질감사";#N/A,#N/A,FALSE,"현장품질감사"}</definedName>
    <definedName name="총괄표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총무팀총무팀" hidden="1">{#N/A,#N/A,TRUE,"Y생산";#N/A,#N/A,TRUE,"Y판매";#N/A,#N/A,TRUE,"Y총물량";#N/A,#N/A,TRUE,"Y능력";#N/A,#N/A,TRUE,"YKD"}</definedName>
    <definedName name="최남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영" hidden="1">{#N/A,#N/A,FALSE,"정공"}</definedName>
    <definedName name="최인경" hidden="1">{#N/A,#N/A,FALSE,"골재소요량";#N/A,#N/A,FALSE,"골재소요량"}</definedName>
    <definedName name="최종갑지" hidden="1">{#N/A,#N/A,FALSE,"단가표지"}</definedName>
    <definedName name="추가내역" hidden="1">#REF!</definedName>
    <definedName name="추가내역2" hidden="1">#REF!</definedName>
    <definedName name="추가옵션01" hidden="1">#REF!</definedName>
    <definedName name="추산산서2" hidden="1">{#N/A,#N/A,FALSE,"견적갑지";#N/A,#N/A,FALSE,"총괄표";#N/A,#N/A,FALSE,"철골공사";#N/A,#N/A,FALSE,"토목공사";#N/A,#N/A,FALSE,"판넬전기공사"}</definedName>
    <definedName name="추정" hidden="1">{#N/A,#N/A,FALSE,"포장2"}</definedName>
    <definedName name="축수산장설비" hidden="1">{#N/A,#N/A,FALSE,"견적갑지";#N/A,#N/A,FALSE,"총괄표";#N/A,#N/A,FALSE,"철골공사";#N/A,#N/A,FALSE,"토목공사";#N/A,#N/A,FALSE,"판넬전기공사"}</definedName>
    <definedName name="춘추" hidden="1">{#N/A,#N/A,FALSE,"현장 NCR 분석";#N/A,#N/A,FALSE,"현장품질감사";#N/A,#N/A,FALSE,"현장품질감사"}</definedName>
    <definedName name="출입문2"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출입문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충돌" hidden="1">{#N/A,#N/A,FALSE,"현장 NCR 분석";#N/A,#N/A,FALSE,"현장품질감사";#N/A,#N/A,FALSE,"현장품질감사"}</definedName>
    <definedName name="충전견적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주" hidden="1">#REF!</definedName>
    <definedName name="츠" hidden="1">{#N/A,#N/A,FALSE,"조골재"}</definedName>
    <definedName name="측구" hidden="1">{#N/A,#N/A,FALSE,"2~8번"}</definedName>
    <definedName name="칠곡" hidden="1">{#N/A,#N/A,TRUE,"손익보고"}</definedName>
    <definedName name="ㅋ" hidden="1">{#N/A,#N/A,FALSE,"명세표"}</definedName>
    <definedName name="ㅋㅁ" hidden="1">{#N/A,#N/A,FALSE,"명세표"}</definedName>
    <definedName name="ㅋㅇㅁㅇ" hidden="1">{"'공사부문'!$A$6:$A$32"}</definedName>
    <definedName name="ㅋㅋ" localSheetId="0" hidden="1">{#N/A,#N/A,FALSE,"운반시간"}</definedName>
    <definedName name="ㅋㅋ" hidden="1">{#N/A,#N/A,FALSE,"조골재"}</definedName>
    <definedName name="ㅋㅋㅋ" localSheetId="0" hidden="1">{#N/A,#N/A,FALSE,"전력간선"}</definedName>
    <definedName name="ㅋㅋㅋ" hidden="1">{#N/A,#N/A,FALSE,"명세표"}</definedName>
    <definedName name="ㅋㅋㅋㅋ" hidden="1">{#N/A,#N/A,FALSE,"조골재"}</definedName>
    <definedName name="ㅋㅋㅋㅋㅋ" hidden="1">{#N/A,#N/A,FALSE,"표지목차"}</definedName>
    <definedName name="ㅋㅋㅋㅋㅋㅋ" hidden="1">{#N/A,#N/A,FALSE,"골재소요량";#N/A,#N/A,FALSE,"골재소요량"}</definedName>
    <definedName name="ㅋㅋㅋㅋㅋㅋㅋㅋㅋㅋ" hidden="1">{#N/A,#N/A,FALSE,"운반시간"}</definedName>
    <definedName name="카" localSheetId="0" hidden="1">{#N/A,#N/A,FALSE,"단가표지"}</definedName>
    <definedName name="카" hidden="1">{#N/A,#N/A,FALSE,"단가표지"}</definedName>
    <definedName name="카메라" hidden="1">{#N/A,#N/A,FALSE,"지침";#N/A,#N/A,FALSE,"환경분석";#N/A,#N/A,FALSE,"Sheet16"}</definedName>
    <definedName name="카메라11" hidden="1">{#N/A,#N/A,FALSE,"지침";#N/A,#N/A,FALSE,"환경분석";#N/A,#N/A,FALSE,"Sheet16"}</definedName>
    <definedName name="카메라1212" hidden="1">{#N/A,#N/A,FALSE,"지침";#N/A,#N/A,FALSE,"환경분석";#N/A,#N/A,FALSE,"Sheet16"}</definedName>
    <definedName name="카믹서별표" hidden="1">#REF!</definedName>
    <definedName name="컻퍼" hidden="1">{#N/A,#N/A,FALSE,"운반시간"}</definedName>
    <definedName name="케이블간지" localSheetId="0" hidden="1">{#N/A,#N/A,TRUE,"토적및재료집계";#N/A,#N/A,TRUE,"토적및재료집계";#N/A,#N/A,TRUE,"단위량"}</definedName>
    <definedName name="케이블간지" hidden="1">{#N/A,#N/A,TRUE,"토적및재료집계";#N/A,#N/A,TRUE,"토적및재료집계";#N/A,#N/A,TRUE,"단위량"}</definedName>
    <definedName name="코오롱0" hidden="1">{#N/A,#N/A,FALSE,"현장 NCR 분석";#N/A,#N/A,FALSE,"현장품질감사";#N/A,#N/A,FALSE,"현장품질감사"}</definedName>
    <definedName name="코오롱건설" hidden="1">{#N/A,#N/A,FALSE,"현장 NCR 분석";#N/A,#N/A,FALSE,"현장품질감사";#N/A,#N/A,FALSE,"현장품질감사"}</definedName>
    <definedName name="코오롱건설0" hidden="1">{#N/A,#N/A,FALSE,"현장 NCR 분석";#N/A,#N/A,FALSE,"현장품질감사";#N/A,#N/A,FALSE,"현장품질감사"}</definedName>
    <definedName name="콘크리트2" hidden="1">#REF!</definedName>
    <definedName name="콘크리트깨기" hidden="1">{"'중기작업1'!$A$1:$V$18"}</definedName>
    <definedName name="콩" hidden="1">{#N/A,#N/A,TRUE,"총괄"}</definedName>
    <definedName name="큪ㅇ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크크크" hidden="1">#REF!</definedName>
    <definedName name="ㅌ" hidden="1">{#N/A,#N/A,FALSE,"2~8번"}</definedName>
    <definedName name="ㅌㄴㅇ" hidden="1">{#N/A,#N/A,FALSE,"단축1";#N/A,#N/A,FALSE,"단축2";#N/A,#N/A,FALSE,"단축3";#N/A,#N/A,FALSE,"장축";#N/A,#N/A,FALSE,"4WD"}</definedName>
    <definedName name="ㅌㄹ" hidden="1">{#N/A,#N/A,FALSE,"현장 NCR 분석";#N/A,#N/A,FALSE,"현장품질감사";#N/A,#N/A,FALSE,"현장품질감사"}</definedName>
    <definedName name="ㅌㅇㅇㅇㅇ" hidden="1">{"'고휘도교통표지4차선용'!$B$2:$O$14"}</definedName>
    <definedName name="ㅌㅌ" hidden="1">{#N/A,#N/A,FALSE,"2~8번"}</definedName>
    <definedName name="ㅌㅌㅌ" hidden="1">{#N/A,#N/A,FALSE,"골재소요량";#N/A,#N/A,FALSE,"골재소요량"}</definedName>
    <definedName name="ㅌㅌㅌㅌ" hidden="1">{#N/A,#N/A,FALSE,"2~8번"}</definedName>
    <definedName name="ㅌㅌㅌㅌㅌ" hidden="1">{#N/A,#N/A,FALSE,"골재소요량";#N/A,#N/A,FALSE,"골재소요량"}</definedName>
    <definedName name="ㅌㅌㅌㅌㅌㅌ" hidden="1">{#N/A,#N/A,FALSE,"조골재"}</definedName>
    <definedName name="ㅌㅍ츛ㅌ" hidden="1">{#N/A,#N/A,FALSE,"운반시간"}</definedName>
    <definedName name="타" localSheetId="0" hidden="1">{#N/A,#N/A,FALSE,"2~8번"}</definedName>
    <definedName name="타" hidden="1">{#N/A,#N/A,FALSE,"2~8번"}</definedName>
    <definedName name="타견적" hidden="1">#REF!</definedName>
    <definedName name="타공종이월수" hidden="1">#REF!</definedName>
    <definedName name="타사공사비1" hidden="1">#REF!</definedName>
    <definedName name="태영" hidden="1">{#N/A,#N/A,FALSE,"골재소요량";#N/A,#N/A,FALSE,"골재소요량"}</definedName>
    <definedName name="태영지급" hidden="1">{#N/A,#N/A,FALSE,"부대1"}</definedName>
    <definedName name="터널" hidden="1">{#N/A,#N/A,FALSE,"부대1"}</definedName>
    <definedName name="터널구간" hidden="1">{#N/A,#N/A,FALSE,"단가표지"}</definedName>
    <definedName name="테스크" hidden="1">{#N/A,#N/A,FALSE,"단가표지"}</definedName>
    <definedName name="테스트" hidden="1">#REF!</definedName>
    <definedName name="토" localSheetId="0" hidden="1">{#N/A,#N/A,FALSE,"구조1"}</definedName>
    <definedName name="토" hidden="1">#REF!</definedName>
    <definedName name="토\40" localSheetId="0" hidden="1">{#N/A,#N/A,FALSE,"토공2"}</definedName>
    <definedName name="토\40" hidden="1">{#N/A,#N/A,FALSE,"토공2"}</definedName>
    <definedName name="토1" localSheetId="0" hidden="1">{#N/A,#N/A,FALSE,"이정표"}</definedName>
    <definedName name="토1" hidden="1">{#N/A,#N/A,FALSE,"이정표"}</definedName>
    <definedName name="토2" localSheetId="0" hidden="1">{#N/A,#N/A,FALSE,"조골재"}</definedName>
    <definedName name="토2" hidden="1">{#N/A,#N/A,FALSE,"조골재"}</definedName>
    <definedName name="토3" localSheetId="0" hidden="1">{#N/A,#N/A,FALSE,"구조1"}</definedName>
    <definedName name="토3" hidden="1">{#N/A,#N/A,FALSE,"구조1"}</definedName>
    <definedName name="토4" hidden="1">{#N/A,#N/A,FALSE,"구조1"}</definedName>
    <definedName name="토공." hidden="1">{#N/A,#N/A,FALSE,"운반시간"}</definedName>
    <definedName name="토공11" hidden="1">{#N/A,#N/A,FALSE,"포장2"}</definedName>
    <definedName name="토공2" hidden="1">{#N/A,#N/A,FALSE,"2~8번"}</definedName>
    <definedName name="토공222" hidden="1">{#N/A,#N/A,FALSE,"토공2"}</definedName>
    <definedName name="토공3" hidden="1">{#N/A,#N/A,FALSE,"골재소요량";#N/A,#N/A,FALSE,"골재소요량"}</definedName>
    <definedName name="토공5" hidden="1">{#N/A,#N/A,FALSE,"포장1";#N/A,#N/A,FALSE,"포장1"}</definedName>
    <definedName name="토공6" hidden="1">{#N/A,#N/A,FALSE,"골재소요량";#N/A,#N/A,FALSE,"골재소요량"}</definedName>
    <definedName name="토공대비" hidden="1">{#N/A,#N/A,TRUE,"단가표지"}</definedName>
    <definedName name="토공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토공사신규" hidden="1">#REF!</definedName>
    <definedName name="토공이수" hidden="1">#REF!</definedName>
    <definedName name="토공전체" hidden="1">{#N/A,#N/A,FALSE,"운반시간"}</definedName>
    <definedName name="토공집계" hidden="1">{#N/A,#N/A,FALSE,"단가표지"}</definedName>
    <definedName name="토목견적" localSheetId="0" hidden="1">{#N/A,#N/A,FALSE,"골재소요량";#N/A,#N/A,FALSE,"골재소요량"}</definedName>
    <definedName name="토목견적" hidden="1">{#N/A,#N/A,FALSE,"골재소요량";#N/A,#N/A,FALSE,"골재소요량"}</definedName>
    <definedName name="토목공사" hidden="1">{#N/A,#N/A,FALSE,"이태원철근"}</definedName>
    <definedName name="토목공사강릉" hidden="1">#REF!</definedName>
    <definedName name="토목설계" localSheetId="0" hidden="1">{#N/A,#N/A,FALSE,"골재소요량";#N/A,#N/A,FALSE,"골재소요량"}</definedName>
    <definedName name="토목설계" localSheetId="1" hidden="1">{#N/A,#N/A,FALSE,"골재소요량";#N/A,#N/A,FALSE,"골재소요량"}</definedName>
    <definedName name="토목설계" hidden="1">{#N/A,#N/A,FALSE,"골재소요량";#N/A,#N/A,FALSE,"골재소요량"}</definedName>
    <definedName name="토목시공" hidden="1">{#N/A,#N/A,FALSE,"골재소요량";#N/A,#N/A,FALSE,"골재소요량"}</definedName>
    <definedName name="토목실견적" hidden="1">{#N/A,#N/A,FALSE,"이태원철근"}</definedName>
    <definedName name="토목실행" localSheetId="0" hidden="1">{#N/A,#N/A,FALSE,"골재소요량";#N/A,#N/A,FALSE,"골재소요량"}</definedName>
    <definedName name="토목실행" hidden="1">{#N/A,#N/A,FALSE,"골재소요량";#N/A,#N/A,FALSE,"골재소요량"}</definedName>
    <definedName name="토목적용" hidden="1">{#N/A,#N/A,FALSE,"기안지";#N/A,#N/A,FALSE,"통신지"}</definedName>
    <definedName name="토적계산" hidden="1">#REF!</definedName>
    <definedName name="토적계산1" hidden="1">{"'Sheet1'!$A$4","'Sheet1'!$A$9:$G$28"}</definedName>
    <definedName name="토적계산서" hidden="1">#REF!</definedName>
    <definedName name="토적표" hidden="1">#REF!</definedName>
    <definedName name="토적표01" hidden="1">#REF!</definedName>
    <definedName name="토적표1" hidden="1">#REF!</definedName>
    <definedName name="토출조" hidden="1">{"'중기작업1'!$A$1:$V$18"}</definedName>
    <definedName name="통관총괄" hidden="1">#REF!</definedName>
    <definedName name="투" hidden="1">#REF!</definedName>
    <definedName name="투3" hidden="1">{#N/A,#N/A,FALSE,"배수2"}</definedName>
    <definedName name="투자CONC.182억" hidden="1">{#N/A,#N/A,FALSE,"단축1";#N/A,#N/A,FALSE,"단축2";#N/A,#N/A,FALSE,"단축3";#N/A,#N/A,FALSE,"장축";#N/A,#N/A,FALSE,"4WD"}</definedName>
    <definedName name="투자비비교" hidden="1">{#N/A,#N/A,FALSE,"단축1";#N/A,#N/A,FALSE,"단축2";#N/A,#N/A,FALSE,"단축3";#N/A,#N/A,FALSE,"장축";#N/A,#N/A,FALSE,"4WD"}</definedName>
    <definedName name="투찰" localSheetId="0" hidden="1">{#N/A,#N/A,FALSE,"단가표지"}</definedName>
    <definedName name="투찰" hidden="1">{#N/A,#N/A,FALSE,"단가표지"}</definedName>
    <definedName name="투찰원가" hidden="1">{#N/A,#N/A,FALSE,"2~8번"}</definedName>
    <definedName name="트" hidden="1">{#N/A,#N/A,FALSE,"구조1"}</definedName>
    <definedName name="트럭" hidden="1">{#N/A,#N/A,FALSE,"전열산출서"}</definedName>
    <definedName name="트럭차체부" hidden="1">{#N/A,#N/A,TRUE,"Y생산";#N/A,#N/A,TRUE,"Y판매";#N/A,#N/A,TRUE,"Y총물량";#N/A,#N/A,TRUE,"Y능력";#N/A,#N/A,TRUE,"YKD"}</definedName>
    <definedName name="트럭차체부1" hidden="1">{#N/A,#N/A,TRUE,"Y생산";#N/A,#N/A,TRUE,"Y판매";#N/A,#N/A,TRUE,"Y총물량";#N/A,#N/A,TRUE,"Y능력";#N/A,#N/A,TRUE,"YKD"}</definedName>
    <definedName name="트레이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특럭" hidden="1">{#N/A,#N/A,FALSE,"전열산출서"}</definedName>
    <definedName name="특수별표" hidden="1">#REF!</definedName>
    <definedName name="ㅍ" hidden="1">{#N/A,#N/A,FALSE,"2~8번"}</definedName>
    <definedName name="ㅍㄴㅇㄹ" hidden="1">#REF!</definedName>
    <definedName name="ㅍㅇㄴ" localSheetId="0" hidden="1">#REF!</definedName>
    <definedName name="ㅍㅇㄴ" hidden="1">#REF!</definedName>
    <definedName name="ㅍㅇㅊㅍㅊ" hidden="1">{#N/A,#N/A,FALSE,"2~8번"}</definedName>
    <definedName name="ㅍ춫" hidden="1">{#N/A,#N/A,FALSE,"골재소요량";#N/A,#N/A,FALSE,"골재소요량"}</definedName>
    <definedName name="ㅍ츝" hidden="1">{#N/A,#N/A,FALSE,"표지목차"}</definedName>
    <definedName name="ㅍㅋㅌㅊㅍㅇㄷ" localSheetId="0" hidden="1">#REF!</definedName>
    <definedName name="ㅍㅋㅌㅊㅍㅇㄷ" hidden="1">#REF!</definedName>
    <definedName name="ㅍㅍ" localSheetId="0" hidden="1">{#N/A,#N/A,TRUE,"토적및재료집계";#N/A,#N/A,TRUE,"토적및재료집계";#N/A,#N/A,TRUE,"단위량"}</definedName>
    <definedName name="ㅍㅍ" hidden="1">{#N/A,#N/A,TRUE,"토적및재료집계";#N/A,#N/A,TRUE,"토적및재료집계";#N/A,#N/A,TRUE,"단위량"}</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12121" hidden="1">{"운영비용1",#N/A,FALSE,"운영비용";"운영비용2",#N/A,FALSE,"운영비용";"운영비용3",#N/A,FALSE,"운영비용";"운영비용4",#N/A,FALSE,"운영비용";"운영비용5",#N/A,FALSE,"운영비용";"운영비용6",#N/A,FALSE,"운영비용"}</definedName>
    <definedName name="ㅍㅍㅍ1212ㅍㅍ" hidden="1">{"총괄자금운영표",#N/A,FALSE,"자금운영표";"1단계자금운영표(불변)",#N/A,FALSE,"자금운영표";"2단계자금운영표(불변)",#N/A,FALSE,"자금운영표"}</definedName>
    <definedName name="ㅍㅍㅍ212121" hidden="1">{"불변현금흐름",#N/A,FALSE,"추정IS,CF,무상사용"}</definedName>
    <definedName name="ㅍㅍㅍㅍ" hidden="1">{"'중기작업1'!$A$1:$V$18"}</definedName>
    <definedName name="ㅍㅍㅍㅍ1212121" hidden="1">{"운영설비비1",#N/A,FALSE,"운영설비비";"운영설비비2",#N/A,FALSE,"운영설비비"}</definedName>
    <definedName name="ㅍㅍㅍㅍㅍ" hidden="1">{#N/A,#N/A,FALSE,"표지목차"}</definedName>
    <definedName name="파군재교" localSheetId="1" hidden="1">{#N/A,#N/A,FALSE,"단면 제원"}</definedName>
    <definedName name="파군재교" hidden="1">{#N/A,#N/A,FALSE,"단면 제원"}</definedName>
    <definedName name="파일" hidden="1">#REF!</definedName>
    <definedName name="파주" hidden="1">{#N/A,#N/A,FALSE,"조골재"}</definedName>
    <definedName name="판넬" hidden="1">{"'단계별시설공사비'!$A$3:$K$51"}</definedName>
    <definedName name="팔" hidden="1">#REF!</definedName>
    <definedName name="팬" hidden="1">{#N/A,#N/A,TRUE,"공조기";#N/A,#N/A,TRUE,"FCU";#N/A,#N/A,TRUE,"1-20";#N/A,#N/A,TRUE,"21-40";#N/A,#N/A,TRUE,"41-60";#N/A,#N/A,TRUE,"61-80";#N/A,#N/A,TRUE,"화장실부하집계";#N/A,#N/A,TRUE,"화장실"}</definedName>
    <definedName name="펌프" hidden="1">{#N/A,#N/A,TRUE,"1. 부하계산";#N/A,#N/A,TRUE,"1-1.부하계산기준";#N/A,#N/A,TRUE,"1-2.부하계산방법";#N/A,#N/A,TRUE,"1-3.부하집계";#N/A,#N/A,TRUE,"1-4.부하계산"}</definedName>
    <definedName name="펑판재하시험" hidden="1">{#N/A,#N/A,FALSE,"골재소요량";#N/A,#N/A,FALSE,"골재소요량"}</definedName>
    <definedName name="페기갑지" hidden="1">#REF!</definedName>
    <definedName name="페이지" localSheetId="0" hidden="1">{"'Firr(선)'!$AS$1:$AY$62","'Firr(사)'!$AS$1:$AY$62","'Firr(회)'!$AS$1:$AY$62","'Firr(선)'!$L$1:$V$62","'Firr(사)'!$L$1:$V$62","'Firr(회)'!$L$1:$V$62"}</definedName>
    <definedName name="페이지" hidden="1">{"'Firr(선)'!$AS$1:$AY$62","'Firr(사)'!$AS$1:$AY$62","'Firr(회)'!$AS$1:$AY$62","'Firr(선)'!$L$1:$V$62","'Firr(사)'!$L$1:$V$62","'Firr(회)'!$L$1:$V$62"}</definedName>
    <definedName name="편지기초" hidden="1">{#N/A,#N/A,FALSE,"배수2"}</definedName>
    <definedName name="평당견적" hidden="1">#REF!</definedName>
    <definedName name="평당단가" hidden="1">#REF!</definedName>
    <definedName name="평면도" hidden="1">{#N/A,#N/A,FALSE,"Sheet1"}</definedName>
    <definedName name="폐공집계1" hidden="1">{#N/A,#N/A,FALSE,"운반시간"}</definedName>
    <definedName name="폐공집계2" hidden="1">{#N/A,#N/A,FALSE,"골재소요량";#N/A,#N/A,FALSE,"골재소요량"}</definedName>
    <definedName name="폐공집계3" hidden="1">{#N/A,#N/A,FALSE,"2~8번"}</definedName>
    <definedName name="폐공집계4" hidden="1">{#N/A,#N/A,FALSE,"2~8번"}</definedName>
    <definedName name="폐공집계5" hidden="1">{#N/A,#N/A,FALSE,"조골재"}</definedName>
    <definedName name="폐기물수량산출서" hidden="1">#REF!</definedName>
    <definedName name="포" localSheetId="0" hidden="1">{#N/A,#N/A,FALSE,"포장1";#N/A,#N/A,FALSE,"포장1"}</definedName>
    <definedName name="포" hidden="1">{#N/A,#N/A,FALSE,"포장1";#N/A,#N/A,FALSE,"포장1"}</definedName>
    <definedName name="포1" localSheetId="0" hidden="1">{#N/A,#N/A,FALSE,"포장2"}</definedName>
    <definedName name="포1" hidden="1">{#N/A,#N/A,FALSE,"포장2"}</definedName>
    <definedName name="포장" hidden="1">{#N/A,#N/A,FALSE,"포장2"}</definedName>
    <definedName name="포장갑" hidden="1">{#N/A,#N/A,FALSE,"현장 NCR 분석";#N/A,#N/A,FALSE,"현장품질감사";#N/A,#N/A,FALSE,"현장품질감사"}</definedName>
    <definedName name="포장깨기수량" hidden="1">#REF!</definedName>
    <definedName name="포장수량서" hidden="1">#REF!</definedName>
    <definedName name="포장을" hidden="1">{#N/A,#N/A,FALSE,"현장 NCR 분석";#N/A,#N/A,FALSE,"현장품질감사";#N/A,#N/A,FALSE,"현장품질감사"}</definedName>
    <definedName name="포장을1" hidden="1">{#N/A,#N/A,FALSE,"현장 NCR 분석";#N/A,#N/A,FALSE,"현장품질감사";#N/A,#N/A,FALSE,"현장품질감사"}</definedName>
    <definedName name="포장을14" hidden="1">{#N/A,#N/A,FALSE,"현장 NCR 분석";#N/A,#N/A,FALSE,"현장품질감사";#N/A,#N/A,FALSE,"현장품질감사"}</definedName>
    <definedName name="포지머ㅗㄱㄷㅌ킹1" localSheetId="0" hidden="1">{#N/A,#N/A,FALSE,"표지목차"}</definedName>
    <definedName name="포지머ㅗㄱㄷㅌ킹1" hidden="1">{#N/A,#N/A,FALSE,"표지목차"}</definedName>
    <definedName name="폽장2" localSheetId="0" hidden="1">{#N/A,#N/A,FALSE,"포장1";#N/A,#N/A,FALSE,"포장1"}</definedName>
    <definedName name="폽장2" hidden="1">{#N/A,#N/A,FALSE,"포장1";#N/A,#N/A,FALSE,"포장1"}</definedName>
    <definedName name="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 localSheetId="0" hidden="1">#REF!</definedName>
    <definedName name="표지"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표지1" localSheetId="1" hidden="1">#REF!</definedName>
    <definedName name="표지1" hidden="1">#REF!</definedName>
    <definedName name="표지2" localSheetId="0" hidden="1">#REF!</definedName>
    <definedName name="표지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표지표지4" hidden="1">{#N/A,#N/A,FALSE,"전력간선"}</definedName>
    <definedName name="품" hidden="1">{#N/A,#N/A,TRUE,"Y생산";#N/A,#N/A,TRUE,"Y판매";#N/A,#N/A,TRUE,"Y총물량";#N/A,#N/A,TRUE,"Y능력";#N/A,#N/A,TRUE,"YKD"}</definedName>
    <definedName name="품셈내역" hidden="1">{#N/A,#N/A,FALSE,"현장 NCR 분석";#N/A,#N/A,FALSE,"현장품질감사";#N/A,#N/A,FALSE,"현장품질감사"}</definedName>
    <definedName name="품의민원"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품질계획" hidden="1">{#N/A,#N/A,FALSE,"양식(을)"}</definedName>
    <definedName name="품질목표2000" hidden="1">{#N/A,#N/A,TRUE,"Y생산";#N/A,#N/A,TRUE,"Y판매";#N/A,#N/A,TRUE,"Y총물량";#N/A,#N/A,TRUE,"Y능력";#N/A,#N/A,TRUE,"YKD"}</definedName>
    <definedName name="품질생산합격" hidden="1">{#N/A,#N/A,TRUE,"Y생산";#N/A,#N/A,TRUE,"Y판매";#N/A,#N/A,TRUE,"Y총물량";#N/A,#N/A,TRUE,"Y능력";#N/A,#N/A,TRUE,"YKD"}</definedName>
    <definedName name="품총1" hidden="1">#REF!</definedName>
    <definedName name="풍납동" hidden="1">#REF!</definedName>
    <definedName name="풍납동아파트" hidden="1">#REF!</definedName>
    <definedName name="풍전2" hidden="1">{#N/A,#N/A,TRUE,"손익보고"}</definedName>
    <definedName name="피" hidden="1">{#N/A,#N/A,FALSE,"견적갑지";#N/A,#N/A,FALSE,"총괄표";#N/A,#N/A,FALSE,"철골공사";#N/A,#N/A,FALSE,"토목공사";#N/A,#N/A,FALSE,"판넬전기공사"}</definedName>
    <definedName name="피로티" hidden="1">{#N/A,#N/A,FALSE,"이태원철근"}</definedName>
    <definedName name="피로티1" hidden="1">{#N/A,#N/A,FALSE,"이태원철근"}</definedName>
    <definedName name="ㅎ" hidden="1">{#N/A,#N/A,FALSE,"Sheet1"}</definedName>
    <definedName name="ㅎ5" hidden="1">{#N/A,#N/A,FALSE,"골재소요량";#N/A,#N/A,FALSE,"골재소요량"}</definedName>
    <definedName name="ㅎ6" hidden="1">#REF!</definedName>
    <definedName name="ㅎㄱ" hidden="1">#N/A</definedName>
    <definedName name="ㅎㄱㄷㅎ" hidden="1">{#N/A,#N/A,FALSE,"골재소요량";#N/A,#N/A,FALSE,"골재소요량"}</definedName>
    <definedName name="ㅎㄱㅎㅎㄷㄶ" hidden="1">{#N/A,#N/A,FALSE,"골재소요량";#N/A,#N/A,FALSE,"골재소요량"}</definedName>
    <definedName name="ㅎㄴㄹㄴㄹㄴㅇ" hidden="1">{#N/A,#N/A,FALSE,"토공2"}</definedName>
    <definedName name="ㅎㄴㅁㄴㅇㄹㄴㅇ" hidden="1">{#N/A,#N/A,FALSE,"운반시간"}</definedName>
    <definedName name="ㅎㄴㅁㄹㄴㅁㄹㄴㅁㄹㄷㄹㄶㄴ" hidden="1">{#N/A,#N/A,FALSE,"속도"}</definedName>
    <definedName name="ㅎㄴㅁㄹㅈㅁㅎ" hidden="1">{#N/A,#N/A,FALSE,"단가표지"}</definedName>
    <definedName name="ㅎㄴㅇㅁㄹ" localSheetId="0" hidden="1">#REF!</definedName>
    <definedName name="ㅎㄴㅇㅁㄹ" hidden="1">#REF!</definedName>
    <definedName name="ㅎ노ㅠ" hidden="1">{#N/A,#N/A,FALSE,"배수1"}</definedName>
    <definedName name="ㅎㄶ" hidden="1">{#N/A,#N/A,FALSE,"속도"}</definedName>
    <definedName name="ㅎㄷㅇ" hidden="1">{#N/A,#N/A,FALSE,"골재소요량";#N/A,#N/A,FALSE,"골재소요량"}</definedName>
    <definedName name="ㅎㄹㄴ" hidden="1">{#N/A,#N/A,FALSE,"2~8번"}</definedName>
    <definedName name="ㅎㄹㄴㅇ" hidden="1">{#N/A,#N/A,FALSE,"단가표지"}</definedName>
    <definedName name="ㅎㄹㅇㄴ" hidden="1">{#N/A,#N/A,FALSE,"골재소요량";#N/A,#N/A,FALSE,"골재소요량"}</definedName>
    <definedName name="ㅎㄹㅇㄹㄴㅇㄴㄹ" hidden="1">{#N/A,#N/A,FALSE,"표지목차"}</definedName>
    <definedName name="ㅎㄹㅇㅀ" hidden="1">{#N/A,#N/A,FALSE,"속도"}</definedName>
    <definedName name="ㅎㄹㅇㅀㅇㄹ" hidden="1">#REF!</definedName>
    <definedName name="ㅎㄹㅇㅁㅁㅎ" hidden="1">{#N/A,#N/A,FALSE,"조골재"}</definedName>
    <definedName name="ㅎㄹㅇㅁㅎㅁ" hidden="1">{#N/A,#N/A,FALSE,"표지목차"}</definedName>
    <definedName name="ㅎㄹㅇㅎ" hidden="1">#REF!</definedName>
    <definedName name="ㅎㄹㅇㅎㅇㅁㅎ" hidden="1">{#N/A,#N/A,FALSE,"운반시간"}</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라" hidden="1">{#N/A,#N/A,TRUE,"Y생산";#N/A,#N/A,TRUE,"Y판매";#N/A,#N/A,TRUE,"Y총물량";#N/A,#N/A,TRUE,"Y능력";#N/A,#N/A,TRUE,"YKD"}</definedName>
    <definedName name="ㅎ러ㅗㄳㄶㄹ" hidden="1">#REF!</definedName>
    <definedName name="ㅎ러ㅗ허" hidden="1">#REF!</definedName>
    <definedName name="ㅎ로낟안" localSheetId="0" hidden="1">{#N/A,#N/A,FALSE,"혼합골재"}</definedName>
    <definedName name="ㅎ로낟안" hidden="1">{#N/A,#N/A,FALSE,"혼합골재"}</definedName>
    <definedName name="ㅎ로ㅎ" hidden="1">#N/A</definedName>
    <definedName name="ㅎ로ㅓ" hidden="1">{#N/A,#N/A,FALSE,"운반시간"}</definedName>
    <definedName name="ㅎ류휴ㅠㅎ휴" hidden="1">{#N/A,#N/A,FALSE,"골재소요량";#N/A,#N/A,FALSE,"골재소요량"}</definedName>
    <definedName name="ㅎ류ㅠㅍㅎㅇㅎ" hidden="1">{#N/A,#N/A,FALSE,"골재소요량";#N/A,#N/A,FALSE,"골재소요량"}</definedName>
    <definedName name="ㅎ륜ㅇㄹ" hidden="1">{#N/A,#N/A,FALSE,"2~8번"}</definedName>
    <definedName name="ㅎ률" hidden="1">{#N/A,#N/A,FALSE,"조골재"}</definedName>
    <definedName name="ㅎ르ㅓㅗㅓ" hidden="1">{#N/A,#N/A,FALSE,"골재소요량";#N/A,#N/A,FALSE,"골재소요량"}</definedName>
    <definedName name="ㅎㄻㄹㅇㅎㅇㅁ" hidden="1">{#N/A,#N/A,FALSE,"혼합골재"}</definedName>
    <definedName name="ㅎㄻㅇㅎㅁㅇㅎㅁㅇㅎ" hidden="1">{#N/A,#N/A,FALSE,"골재소요량";#N/A,#N/A,FALSE,"골재소요량"}</definedName>
    <definedName name="ㅎㅀ1212" hidden="1">{"운영수익1",#N/A,FALSE,"운영수익";"운영수익2",#N/A,FALSE,"운영수익";"운영수익3",#N/A,FALSE,"운영수익"}</definedName>
    <definedName name="ㅎㅀㄹ" localSheetId="0" hidden="1">{#N/A,#N/A,FALSE,"운반시간"}</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ㅁㅇㅀㅁㅇ" hidden="1">{#N/A,#N/A,FALSE,"단가표지"}</definedName>
    <definedName name="ㅎㅁㅇㅀㅁㅇㅎㅁ" hidden="1">{#N/A,#N/A,FALSE,"단가표지"}</definedName>
    <definedName name="ㅎㅁㅎㄻㄴㅇ" hidden="1">{#N/A,#N/A,FALSE,"단가표지"}</definedName>
    <definedName name="ㅎㅂㅎ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ㅅ"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ㅎㅇㄴ" hidden="1">{#N/A,#N/A,FALSE,"2~8번"}</definedName>
    <definedName name="ㅎㅇㄶ" hidden="1">#N/A</definedName>
    <definedName name="ㅎㅇㄶㅇ" hidden="1">#REF!</definedName>
    <definedName name="ㅎㅇㄹ" hidden="1">#N/A</definedName>
    <definedName name="ㅎㅇㄹ홍ㄴ로" hidden="1">{#N/A,#N/A,FALSE,"단가표지"}</definedName>
    <definedName name="ㅎㅇㄻㅎㅁㅇ" hidden="1">{#N/A,#N/A,FALSE,"혼합골재"}</definedName>
    <definedName name="ㅎㅇㄻㅎㅁㅎㅁㅇ" hidden="1">{#N/A,#N/A,FALSE,"운반시간"}</definedName>
    <definedName name="ㅎㅇㅀ" hidden="1">#N/A</definedName>
    <definedName name="ㅎㅇㅀㄴ" hidden="1">{#N/A,#N/A,FALSE,"골재소요량";#N/A,#N/A,FALSE,"골재소요량"}</definedName>
    <definedName name="ㅎㅇㅀㅁㅇㅎㅁㅇ" hidden="1">{#N/A,#N/A,FALSE,"단가표지"}</definedName>
    <definedName name="ㅎㅇㅀㅇㅀ" hidden="1">{#N/A,#N/A,FALSE,"표지목차"}</definedName>
    <definedName name="ㅎㅇㅀㅇㅀㅇ" hidden="1">{#N/A,#N/A,FALSE,"표지목차"}</definedName>
    <definedName name="ㅎㅇㅀㅇㅀㅇㅎ" hidden="1">{#N/A,#N/A,FALSE,"표지목차"}</definedName>
    <definedName name="ㅎㅇㅁㄴㄹ" hidden="1">{#N/A,#N/A,FALSE,"운반시간"}</definedName>
    <definedName name="ㅎㅇㅁㅀㅁㅇ" hidden="1">{#N/A,#N/A,FALSE,"단가표지"}</definedName>
    <definedName name="ㅎㅇㅇㅀㅎㄹ" hidden="1">{#N/A,#N/A,FALSE,"속도"}</definedName>
    <definedName name="ㅎㅇㅎㄹㄴㅇ" hidden="1">#REF!</definedName>
    <definedName name="ㅎ어ㅗ" hidden="1">#N/A</definedName>
    <definedName name="ㅎㅎ" hidden="1">#REF!</definedName>
    <definedName name="ㅎㅎㄴㅁㅎㄴㅁㅎ" hidden="1">{#N/A,#N/A,FALSE,"구조2"}</definedName>
    <definedName name="ㅎㅎ도호" hidden="1">{#N/A,#N/A,FALSE,"표지목차"}</definedName>
    <definedName name="ㅎㅎㅎ" hidden="1">{#N/A,#N/A,FALSE,"골재소요량";#N/A,#N/A,FALSE,"골재소요량"}</definedName>
    <definedName name="ㅎㅎㅎ3" hidden="1">#REF!</definedName>
    <definedName name="ㅎㅎㅎㅁㅁ" hidden="1">{"'Sheet1'!$A$4","'Sheet1'!$A$9:$G$28"}</definedName>
    <definedName name="ㅎㅎㅎㅇㄴ" hidden="1">{#N/A,#N/A,FALSE,"표지목차"}</definedName>
    <definedName name="ㅎㅎㅎㅎ" hidden="1">{#N/A,#N/A,FALSE,"단면 제원"}</definedName>
    <definedName name="ㅎㅎㅎㅎㅎ" hidden="1">{#N/A,#N/A,FALSE,"단가표지"}</definedName>
    <definedName name="ㅎㅎㅎㅎㅎㅎ" hidden="1">{#N/A,#N/A,FALSE,"2~8번"}</definedName>
    <definedName name="ㅎㅎㅎㅎㅎㅎㅎㅎㅎㅎㅎㅎㅎㅎㅎㅎㅎㅎㅎㅎㅎㅎㅎ" hidden="1">#REF!</definedName>
    <definedName name="ㅎㅎㅎㅎㅎㅜㅜ" hidden="1">{#N/A,#N/A,FALSE,"조골재"}</definedName>
    <definedName name="하" hidden="1">{"'정산내역서'!$A$1:$I$35","'정산서(절.성토부)'!$A$1:$Q$17","'정산서(교량부)'!$A$1:$Q$84","'총괄표'!$A$1:$M$12","'시행현황'!$A$1:$G$12","'표지'!$A$1:$N$27","'정산서(절.성토부)'!$A$3:$Q$7"}</definedName>
    <definedName name="하늘" hidden="1">{#N/A,#N/A,FALSE,"전력간선"}</definedName>
    <definedName name="하늘1" hidden="1">{#N/A,#N/A,FALSE,"전력간선"}</definedName>
    <definedName name="하도" hidden="1">{#N/A,#N/A,FALSE,"단가표지"}</definedName>
    <definedName name="하도급내역서1" hidden="1">{#N/A,#N/A,FALSE,"전력간선"}</definedName>
    <definedName name="하도급내역서23" hidden="1">{#N/A,#N/A,FALSE,"전력간선"}</definedName>
    <definedName name="하도급승인품의서2" hidden="1">{#N/A,#N/A,FALSE,"단가표지"}</definedName>
    <definedName name="하도급지급계획2" hidden="1">{#N/A,#N/A,FALSE,"단가표지"}</definedName>
    <definedName name="하도대상" localSheetId="0" hidden="1">{#N/A,#N/A,FALSE,"골재소요량";#N/A,#N/A,FALSE,"골재소요량"}</definedName>
    <definedName name="하도대상" hidden="1">{#N/A,#N/A,FALSE,"골재소요량";#N/A,#N/A,FALSE,"골재소요량"}</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서류" hidden="1">{#N/A,#N/A,FALSE,"현장 NCR 분석";#N/A,#N/A,FALSE,"현장품질감사";#N/A,#N/A,FALSE,"현장품질감사"}</definedName>
    <definedName name="하도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하비람" hidden="1">{#N/A,#N/A,TRUE,"1. 부하계산";#N/A,#N/A,TRUE,"1-1.부하계산기준";#N/A,#N/A,TRUE,"1-2.부하계산방법";#N/A,#N/A,TRUE,"1-3.부하집계";#N/A,#N/A,TRUE,"1-4.부하계산"}</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hidden="1">{#N/A,#N/A,FALSE,"포장단가"}</definedName>
    <definedName name="하지원" hidden="1">{#N/A,#N/A,FALSE,"지침";#N/A,#N/A,FALSE,"환경분석";#N/A,#N/A,FALSE,"Sheet16"}</definedName>
    <definedName name="하하" hidden="1">#N/A</definedName>
    <definedName name="하하하" hidden="1">{#N/A,#N/A,FALSE,"명세표"}</definedName>
    <definedName name="하한선" hidden="1">{#N/A,#N/A,FALSE,"배수2"}</definedName>
    <definedName name="하핳" hidden="1">{#N/A,#N/A,TRUE,"Y생산";#N/A,#N/A,TRUE,"Y판매";#N/A,#N/A,TRUE,"Y총물량";#N/A,#N/A,TRUE,"Y능력";#N/A,#N/A,TRUE,"YKD"}</definedName>
    <definedName name="한" localSheetId="1" hidden="1">#REF!</definedName>
    <definedName name="한" hidden="1">#REF!</definedName>
    <definedName name="한국타코닉"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한동" localSheetId="0" hidden="1">{#N/A,#N/A,FALSE,"단가표지"}</definedName>
    <definedName name="한동" hidden="1">{#N/A,#N/A,FALSE,"단가표지"}</definedName>
    <definedName name="한ㅇㅈㄷㄷ" hidden="1">{#N/A,#N/A,FALSE,"조골재"}</definedName>
    <definedName name="한아름" hidden="1">{#N/A,#N/A,FALSE,"Sheet1"}</definedName>
    <definedName name="한영사전" hidden="1">{#N/A,#N/A,TRUE,"Y생산";#N/A,#N/A,TRUE,"Y판매";#N/A,#N/A,TRUE,"Y총물량";#N/A,#N/A,TRUE,"Y능력";#N/A,#N/A,TRUE,"YKD"}</definedName>
    <definedName name="한울" hidden="1">#REF!</definedName>
    <definedName name="한울11" hidden="1">#REF!</definedName>
    <definedName name="한일건설" hidden="1">{#N/A,#N/A,FALSE,"현장 NCR 분석";#N/A,#N/A,FALSE,"현장품질감사";#N/A,#N/A,FALSE,"현장품질감사"}</definedName>
    <definedName name="한전수" hidden="1">{#N/A,#N/A,FALSE,"명세표"}</definedName>
    <definedName name="한화명" hidden="1">{#N/A,#N/A,FALSE,"표지목차"}</definedName>
    <definedName name="합" hidden="1">{#N/A,#N/A,FALSE,"포장2"}</definedName>
    <definedName name="합계표"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항공장애구" hidden="1">{#N/A,#N/A,FALSE,"현장 NCR 분석";#N/A,#N/A,FALSE,"현장품질감사";#N/A,#N/A,FALSE,"현장품질감사"}</definedName>
    <definedName name="항나" hidden="1">{"'급수관로수리계산서'!$A$1:$V$45"}</definedName>
    <definedName name="허허허헣허허허헣" hidden="1">{"'중기작업1'!$A$1:$V$18"}</definedName>
    <definedName name="허ㅓ" hidden="1">{#N/A,#N/A,FALSE,"단축1";#N/A,#N/A,FALSE,"단축2";#N/A,#N/A,FALSE,"단축3";#N/A,#N/A,FALSE,"장축";#N/A,#N/A,FALSE,"4WD"}</definedName>
    <definedName name="허ㅗ허ㅎ" hidden="1">#N/A</definedName>
    <definedName name="혀쇼ㅕ" hidden="1">#N/A</definedName>
    <definedName name="혀오강ㄷ" hidden="1">{#N/A,#N/A,FALSE,"지침";#N/A,#N/A,FALSE,"환경분석";#N/A,#N/A,FALSE,"Sheet16"}</definedName>
    <definedName name="현" hidden="1">#REF!</definedName>
    <definedName name="현광등" hidden="1">{#N/A,#N/A,FALSE,"지침";#N/A,#N/A,FALSE,"환경분석";#N/A,#N/A,FALSE,"Sheet16"}</definedName>
    <definedName name="현대" hidden="1">{#N/A,#N/A,FALSE,"정공"}</definedName>
    <definedName name="현대건설" hidden="1">{#N/A,#N/A,FALSE,"현장 NCR 분석";#N/A,#N/A,FALSE,"현장품질감사";#N/A,#N/A,FALSE,"현장품질감사"}</definedName>
    <definedName name="현대건업집계" hidden="1">{#N/A,#N/A,FALSE,"조골재"}</definedName>
    <definedName name="현대내역서" hidden="1">{"'Sheet1'!$A$4","'Sheet1'!$A$9:$G$28"}</definedName>
    <definedName name="현장" localSheetId="0" hidden="1">#REF!</definedName>
    <definedName name="현장" hidden="1">{#N/A,#N/A,FALSE,"현장 NCR 분석";#N/A,#N/A,FALSE,"현장품질감사";#N/A,#N/A,FALSE,"현장품질감사"}</definedName>
    <definedName name="현장보고6" hidden="1">{#N/A,#N/A,FALSE,"Sheet1"}</definedName>
    <definedName name="현장설명" localSheetId="0" hidden="1">{#N/A,#N/A,FALSE,"증감대비표";#N/A,#N/A,FALSE,"결의서";#N/A,#N/A,FALSE,"내역서";#N/A,#N/A,FALSE,"도급예상"}</definedName>
    <definedName name="현장설명" hidden="1">{#N/A,#N/A,FALSE,"현장 NCR 분석";#N/A,#N/A,FALSE,"현장품질감사";#N/A,#N/A,FALSE,"현장품질감사"}</definedName>
    <definedName name="현장설명2" localSheetId="0" hidden="1">{#N/A,#N/A,FALSE,"현장 NCR 분석";#N/A,#N/A,FALSE,"현장품질감사";#N/A,#N/A,FALSE,"현장품질감사"}</definedName>
    <definedName name="현장설명2" hidden="1">{#N/A,#N/A,FALSE,"현장 NCR 분석";#N/A,#N/A,FALSE,"현장품질감사";#N/A,#N/A,FALSE,"현장품질감사"}</definedName>
    <definedName name="현장설명3" hidden="1">{#N/A,#N/A,FALSE,"현장 NCR 분석";#N/A,#N/A,FALSE,"현장품질감사";#N/A,#N/A,FALSE,"현장품질감사"}</definedName>
    <definedName name="현장운영비산출" hidden="1">#REF!</definedName>
    <definedName name="현조" hidden="1">#REF!</definedName>
    <definedName name="현황도" localSheetId="1" hidden="1">{#N/A,#N/A,FALSE,"구조2"}</definedName>
    <definedName name="현황도" hidden="1">255</definedName>
    <definedName name="현황보고" hidden="1">{#N/A,#N/A,FALSE,"Sheet1"}</definedName>
    <definedName name="협" hidden="1">{#N/A,#N/A,FALSE,"배수2"}</definedName>
    <definedName name="협력" hidden="1">{#N/A,#N/A,FALSE,"포장2"}</definedName>
    <definedName name="협력업체" hidden="1">{#N/A,#N/A,FALSE,"포장2"}</definedName>
    <definedName name="협조전" hidden="1">#REF!</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형제" hidden="1">{#N/A,#N/A,FALSE,"포장2"}</definedName>
    <definedName name="형틀업체" hidden="1">{#N/A,#N/A,FALSE,"월공사비집계표양식 (7)";#N/A,#N/A,FALSE,"월공사비집계표양식 (7)"}</definedName>
    <definedName name="호" hidden="1">{#N/A,#N/A,FALSE,"현장 NCR 분석";#N/A,#N/A,FALSE,"현장품질감사";#N/A,#N/A,FALSE,"현장품질감사"}</definedName>
    <definedName name="호우" hidden="1">{#N/A,#N/A,FALSE,"표지목차"}</definedName>
    <definedName name="호우ㅗ" hidden="1">{#N/A,#N/A,FALSE,"단가표지"}</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호" hidden="1">{#N/A,#N/A,FALSE,"지침";#N/A,#N/A,FALSE,"환경분석";#N/A,#N/A,FALSE,"Sheet16"}</definedName>
    <definedName name="호호호" hidden="1">{#N/A,#N/A,FALSE,"현장 NCR 분석";#N/A,#N/A,FALSE,"현장품질감사";#N/A,#N/A,FALSE,"현장품질감사"}</definedName>
    <definedName name="호ㅓ" hidden="1">#REF!</definedName>
    <definedName name="호ㅓㅎ" hidden="1">{#N/A,#N/A,FALSE,"표지목차"}</definedName>
    <definedName name="호ㅓㅏ" hidden="1">{#N/A,#N/A,FALSE,"96 3월물량표";#N/A,#N/A,FALSE,"96 4월물량표";#N/A,#N/A,FALSE,"96 5월물량표"}</definedName>
    <definedName name="호ㅓㅕㅏ6ㅅ서ㅛㅓ" hidden="1">#REF!</definedName>
    <definedName name="호ㅓㅗ" hidden="1">{#N/A,#N/A,FALSE,"포장1";#N/A,#N/A,FALSE,"포장1"}</definedName>
    <definedName name="호ㅠ포" hidden="1">{#N/A,#N/A,FALSE,"표지목차"}</definedName>
    <definedName name="혼ㄹ" hidden="1">{#N/A,#N/A,FALSE,"운반시간"}</definedName>
    <definedName name="홀ㄴㄺㅅ" hidden="1">{#N/A,#N/A,FALSE,"단가표지"}</definedName>
    <definedName name="홀옹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홈도ㅗ" hidden="1">{#N/A,#N/A,FALSE,"전열산출서"}</definedName>
    <definedName name="홍" hidden="1">{#N/A,#N/A,FALSE,"96 3월물량표";#N/A,#N/A,FALSE,"96 4월물량표";#N/A,#N/A,FALSE,"96 5월물량표"}</definedName>
    <definedName name="홍히벅ㅇ데" hidden="1">{#N/A,#N/A,FALSE,"혼합골재"}</definedName>
    <definedName name="홓" localSheetId="0" hidden="1">{#N/A,#N/A,FALSE,"조골재"}</definedName>
    <definedName name="홓" hidden="1">{#N/A,#N/A,FALSE,"조골재"}</definedName>
    <definedName name="홓렁호ㅓ호" hidden="1">{#N/A,#N/A,FALSE,"단가표지"}</definedName>
    <definedName name="홓로" hidden="1">{#N/A,#N/A,FALSE,"단가표지"}</definedName>
    <definedName name="홓홀ㅇ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허호ㅓ" hidden="1">{#N/A,#N/A,FALSE,"조골재"}</definedName>
    <definedName name="확정" hidden="1">{#N/A,#N/A,FALSE,"현장 NCR 분석";#N/A,#N/A,FALSE,"현장품질감사";#N/A,#N/A,FALSE,"현장품질감사"}</definedName>
    <definedName name="회계잔액" hidden="1">#REF!</definedName>
    <definedName name="회신현황" hidden="1">{#N/A,#N/A,TRUE,"Y생산";#N/A,#N/A,TRUE,"Y판매";#N/A,#N/A,TRUE,"Y총물량";#N/A,#N/A,TRUE,"Y능력";#N/A,#N/A,TRUE,"YKD"}</definedName>
    <definedName name="회현지구" hidden="1">{"'용역비'!$A$4:$C$8"}</definedName>
    <definedName name="효석" localSheetId="0" hidden="1">{"'Firr(선)'!$AS$1:$AY$62","'Firr(사)'!$AS$1:$AY$62","'Firr(회)'!$AS$1:$AY$62","'Firr(선)'!$L$1:$V$62","'Firr(사)'!$L$1:$V$62","'Firr(회)'!$L$1:$V$62"}</definedName>
    <definedName name="효석" hidden="1">{"'Firr(선)'!$AS$1:$AY$62","'Firr(사)'!$AS$1:$AY$62","'Firr(회)'!$AS$1:$AY$62","'Firr(선)'!$L$1:$V$62","'Firr(사)'!$L$1:$V$62","'Firr(회)'!$L$1:$V$62"}</definedName>
    <definedName name="효효" hidden="1">{#N/A,#N/A,FALSE,"지침";#N/A,#N/A,FALSE,"환경분석";#N/A,#N/A,FALSE,"Sheet16"}</definedName>
    <definedName name="효ㅛㅛㅛㅛ" hidden="1">{#N/A,#N/A,FALSE,"조골재"}</definedName>
    <definedName name="휴천수" hidden="1">{#N/A,#N/A,FALSE,"포장단가"}</definedName>
    <definedName name="흄관내역" hidden="1">{#N/A,#N/A,FALSE,"조골재"}</definedName>
    <definedName name="흄관단위수량" hidden="1">#N/A</definedName>
    <definedName name="희성" hidden="1">{#N/A,#N/A,FALSE,"명세표"}</definedName>
    <definedName name="히히" hidden="1">{#N/A,#N/A,FALSE,"조골재"}</definedName>
    <definedName name="히히히" hidden="1">#REF!</definedName>
    <definedName name="히ㅏㅓㅣㅏㅓㅚㅏ" hidden="1">{#N/A,#N/A,FALSE,"구조1"}</definedName>
    <definedName name="힌울" hidden="1">#REF!</definedName>
    <definedName name="ㅏ" hidden="1">{#N/A,#N/A,FALSE,"운반시간"}</definedName>
    <definedName name="ㅏ1" hidden="1">#REF!</definedName>
    <definedName name="ㅏㄴ" hidden="1">{"'중기작업1'!$A$1:$V$18"}</definedName>
    <definedName name="ㅏ아아아앙" hidden="1">{#N/A,#N/A,FALSE,"운반시간"}</definedName>
    <definedName name="ㅏㅎ러ㅗ허ㅗ" hidden="1">#N/A</definedName>
    <definedName name="ㅏ허화" hidden="1">{#N/A,#N/A,FALSE,"골재소요량";#N/A,#N/A,FALSE,"골재소요량"}</definedName>
    <definedName name="ㅏㅏ" hidden="1">{#N/A,#N/A,FALSE,"2~8번"}</definedName>
    <definedName name="ㅏㅏㅏ" hidden="1">{#N/A,#N/A,FALSE,"명세표"}</definedName>
    <definedName name="ㅏㅏㅏㅏ" hidden="1">{#N/A,#N/A,FALSE,"단면 제원"}</definedName>
    <definedName name="ㅏㅏㅏㅏㅏ" hidden="1">{#N/A,#N/A,FALSE,"단가표지"}</definedName>
    <definedName name="ㅏㅏㅏㅏㅏㅏㅏ" hidden="1">{#N/A,#N/A,FALSE,"운반시간"}</definedName>
    <definedName name="ㅏㅏㅏㅏㅏㅏㅏㅏㅏㅏㅏㅏㅏㅏㅏㅏㅏㅏㅏㅏㅏㅏㅏㅏㅏㅏㅏ" hidden="1">{#N/A,#N/A,FALSE,"단가표지"}</definedName>
    <definedName name="ㅏ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ㅓ" localSheetId="0" hidden="1">{#N/A,#N/A,FALSE,"골재소요량";#N/A,#N/A,FALSE,"골재소요량"}</definedName>
    <definedName name="ㅏㅓ" hidden="1">{#N/A,#N/A,FALSE,"골재소요량";#N/A,#N/A,FALSE,"골재소요량"}</definedName>
    <definedName name="ㅏㅓ화호" hidden="1">{#N/A,#N/A,FALSE,"단가표지"}</definedName>
    <definedName name="ㅏㅓㅏ" localSheetId="0" hidden="1">{#N/A,#N/A,FALSE,"단가표지"}</definedName>
    <definedName name="ㅏㅓㅏ" hidden="1">{#N/A,#N/A,FALSE,"단가표지"}</definedName>
    <definedName name="ㅏㅓㅏㅓ" localSheetId="0" hidden="1">{#N/A,#N/A,FALSE,"2~8번"}</definedName>
    <definedName name="ㅏㅓㅏㅓ" hidden="1">{#N/A,#N/A,FALSE,"2~8번"}</definedName>
    <definedName name="ㅏㅓㅓㅏ" hidden="1">{#N/A,#N/A,FALSE,"Sheet1"}</definedName>
    <definedName name="ㅏㅓㅗ라" hidden="1">{#N/A,#N/A,FALSE,"골재소요량";#N/A,#N/A,FALSE,"골재소요량"}</definedName>
    <definedName name="ㅏㅓㅗㅎ" hidden="1">{#N/A,#N/A,FALSE,"운반시간"}</definedName>
    <definedName name="ㅏㅓㅗㅓ" hidden="1">{#N/A,#N/A,FALSE,"운반시간"}</definedName>
    <definedName name="ㅏㅓㅘ허호" hidden="1">{#N/A,#N/A,FALSE,"단가표지"}</definedName>
    <definedName name="ㅏㅓㅘㅗ" hidden="1">#REF!</definedName>
    <definedName name="ㅏㅓㅣㅏㅓㅣ" hidden="1">{#N/A,#N/A,FALSE,"부대2"}</definedName>
    <definedName name="ㅏㅗ" hidden="1">#REF!</definedName>
    <definedName name="ㅏㅗㅇ" hidden="1">{#N/A,#N/A,FALSE,"현장 NCR 분석";#N/A,#N/A,FALSE,"현장품질감사";#N/A,#N/A,FALSE,"현장품질감사"}</definedName>
    <definedName name="ㅏㅗ하ㅓ호" hidden="1">#N/A</definedName>
    <definedName name="ㅏㅗㅓㅏ화호" hidden="1">{#N/A,#N/A,FALSE,"표지목차"}</definedName>
    <definedName name="ㅏㅘㅓ" hidden="1">#REF!</definedName>
    <definedName name="ㅏㅜ민얼" hidden="1">{#N/A,#N/A,FALSE,"2~8번"}</definedName>
    <definedName name="ㅏㅣ" hidden="1">{#N/A,#N/A,FALSE,"96 3월물량표";#N/A,#N/A,FALSE,"96 4월물량표";#N/A,#N/A,FALSE,"96 5월물량표"}</definedName>
    <definedName name="ㅐㅑㅔ" hidden="1">{#N/A,#N/A,FALSE,"단가표지"}</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ㅔㅈ" hidden="1">{"'용역비'!$A$4:$C$8"}</definedName>
    <definedName name="ㅑ" hidden="1">{#N/A,#N/A,FALSE,"조골재"}</definedName>
    <definedName name="ㅑ.ㅁ" hidden="1">{"'중기작업1'!$A$1:$V$18"}</definedName>
    <definedName name="ㅑㅐ" hidden="1">{#N/A,#N/A,FALSE,"배수2"}</definedName>
    <definedName name="ㅑㅑㅑㅑ" hidden="1">{#N/A,#N/A,FALSE,"운반시간"}</definedName>
    <definedName name="ㅑㅑㅑㅑㅑㅑ" hidden="1">{#N/A,#N/A,FALSE,"조골재"}</definedName>
    <definedName name="ㅑㅑㅑㅑㅑㅑㅑㅑㅑ" hidden="1">{#N/A,#N/A,FALSE,"표지목차"}</definedName>
    <definedName name="ㅑㅕ" hidden="1">{#N/A,#N/A,FALSE,"배수1"}</definedName>
    <definedName name="ㅑㅕ사" hidden="1">{#N/A,#N/A,FALSE,"혼합골재"}</definedName>
    <definedName name="ㅑㅕㅑ" hidden="1">{#N/A,#N/A,FALSE,"전력간선"}</definedName>
    <definedName name="ㅑㅣㅕㅕㅣㅏㅎ" hidden="1">{#N/A,#N/A,FALSE,"골재소요량";#N/A,#N/A,FALSE,"골재소요량"}</definedName>
    <definedName name="ㅓ" hidden="1">{#N/A,#N/A,TRUE,"Y생산";#N/A,#N/A,TRUE,"Y판매";#N/A,#N/A,TRUE,"Y총물량";#N/A,#N/A,TRUE,"Y능력";#N/A,#N/A,TRUE,"YKD"}</definedName>
    <definedName name="ㅓ7" hidden="1">{#N/A,#N/A,FALSE,"단가표지"}</definedName>
    <definedName name="ㅓㄴㄱ" localSheetId="0" hidden="1">#REF!</definedName>
    <definedName name="ㅓㄴㄱ" hidden="1">#REF!</definedName>
    <definedName name="ㅓㄴㅇ러" localSheetId="0" hidden="1">{#N/A,#N/A,FALSE,"골재소요량";#N/A,#N/A,FALSE,"골재소요량"}</definedName>
    <definedName name="ㅓㄴㅇ러" hidden="1">{#N/A,#N/A,FALSE,"골재소요량";#N/A,#N/A,FALSE,"골재소요량"}</definedName>
    <definedName name="ㅓ롤" hidden="1">{#N/A,#N/A,FALSE,"골재소요량";#N/A,#N/A,FALSE,"골재소요량"}</definedName>
    <definedName name="ㅓㅇㄴ" hidden="1">{#N/A,#N/A,FALSE,"단가표지"}</definedName>
    <definedName name="ㅓㅇ롤ㅇ" hidden="1">{#N/A,#N/A,FALSE,"혼합골재"}</definedName>
    <definedName name="ㅓㅇ호ㅓㅇ호ㅓㅇ허" hidden="1">{#N/A,#N/A,FALSE,"표지목차"}</definedName>
    <definedName name="ㅓ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ㅓㅎ러ㅗ" hidden="1">#N/A</definedName>
    <definedName name="ㅓㅎ러ㅗㅗㅎㄹ" hidden="1">#N/A</definedName>
    <definedName name="ㅓㅎ렁홍" hidden="1">{#N/A,#N/A,FALSE,"혼합골재"}</definedName>
    <definedName name="ㅓㅎ로ㅓㅎㄹ" hidden="1">#REF!</definedName>
    <definedName name="ㅓㅎ로ㅗㄴ" hidden="1">{#N/A,#N/A,FALSE,"단가표지"}</definedName>
    <definedName name="ㅓㅎㅇㅎ" hidden="1">{#N/A,#N/A,FALSE,"운반시간"}</definedName>
    <definedName name="ㅓ헐호ㅓ" hidden="1">#N/A</definedName>
    <definedName name="ㅓ헣로ㅓㅗ러" hidden="1">#N/A</definedName>
    <definedName name="ㅓ호ㅓ" hidden="1">{#N/A,#N/A,FALSE,"표지목차"}</definedName>
    <definedName name="ㅓ호ㅓㄹ호ㅓ" hidden="1">#REF!</definedName>
    <definedName name="ㅓ호ㅓㅎ" hidden="1">#N/A</definedName>
    <definedName name="ㅓ호ㅓㅎ러" hidden="1">#N/A</definedName>
    <definedName name="ㅓ호ㅓㅗㄹ" hidden="1">{#N/A,#N/A,FALSE,"단가표지"}</definedName>
    <definedName name="ㅓㅏ" localSheetId="0" hidden="1">{#N/A,#N/A,FALSE,"골재소요량";#N/A,#N/A,FALSE,"골재소요량"}</definedName>
    <definedName name="ㅓㅏ" hidden="1">{#N/A,#N/A,FALSE,"표지목차"}</definedName>
    <definedName name="ㅓㅏ호" hidden="1">{#N/A,#N/A,FALSE,"단가표지"}</definedName>
    <definedName name="ㅓㅏ호ㅓ" hidden="1">{#N/A,#N/A,FALSE,"단가표지"}</definedName>
    <definedName name="ㅓㅏㅓ" localSheetId="0" hidden="1">{#N/A,#N/A,FALSE,"조골재"}</definedName>
    <definedName name="ㅓㅏㅓ" hidden="1">{#N/A,#N/A,FALSE,"조골재"}</definedName>
    <definedName name="ㅓㅏㅓㅎ" hidden="1">{#N/A,#N/A,FALSE,"단가표지"}</definedName>
    <definedName name="ㅓㅏㅗ하ㅗㅓㅎ" hidden="1">{#N/A,#N/A,FALSE,"혼합골재"}</definedName>
    <definedName name="ㅓㅏㅣㅓㅣㅓ" hidden="1">{#N/A,#N/A,FALSE,"혼합골재"}</definedName>
    <definedName name="ㅓㅑㅛ츄ㅗㄱㄷㄷㅈㅈ" hidden="1">{#N/A,#N/A,FALSE,"전력간선"}</definedName>
    <definedName name="ㅓㅓ" hidden="1">{#N/A,#N/A,FALSE,"조골재"}</definedName>
    <definedName name="ㅓㅓㅓ" hidden="1">{#N/A,#N/A,FALSE,"단면 제원"}</definedName>
    <definedName name="ㅓㅓㅓㅓ" hidden="1">{#N/A,#N/A,FALSE,"골재소요량";#N/A,#N/A,FALSE,"골재소요량"}</definedName>
    <definedName name="ㅓㅓㅓㅓㅓㅓ" hidden="1">{#N/A,#N/A,FALSE,"2~8번"}</definedName>
    <definedName name="ㅓㅓㅓㅓㅓㅓㅓㅓ" hidden="1">{#N/A,#N/A,FALSE,"골재소요량";#N/A,#N/A,FALSE,"골재소요량"}</definedName>
    <definedName name="ㅓㅓㅓㅓㅓㅓㅓㅓㅓ" hidden="1">{#N/A,#N/A,FALSE,"조골재"}</definedName>
    <definedName name="ㅓㅓㅓㅓㅓㅓㅓㅓㅓㅓㅓ" hidden="1">{#N/A,#N/A,FALSE,"골재소요량";#N/A,#N/A,FALSE,"골재소요량"}</definedName>
    <definedName name="ㅓㅓㅗ" localSheetId="0" hidden="1">{#N/A,#N/A,FALSE,"조골재"}</definedName>
    <definedName name="ㅓㅓㅗ" hidden="1">{#N/A,#N/A,FALSE,"조골재"}</definedName>
    <definedName name="ㅓㅕ" hidden="1">{#N/A,#N/A,FALSE,"조골재"}</definedName>
    <definedName name="ㅓㅗ" hidden="1">{#N/A,#N/A,FALSE,"지침";#N/A,#N/A,FALSE,"환경분석";#N/A,#N/A,FALSE,"Sheet16"}</definedName>
    <definedName name="ㅓㅗㅅㄹ" hidden="1">{#N/A,#N/A,FALSE,"조골재"}</definedName>
    <definedName name="ㅓㅗㅎㄹ" hidden="1">{#N/A,#N/A,FALSE,"조골재"}</definedName>
    <definedName name="ㅓㅗㅎ러ㅗㅎ러" hidden="1">{#N/A,#N/A,FALSE,"혼합골재"}</definedName>
    <definedName name="ㅓㅗㅎ러ㅗ호ㅓ" hidden="1">{#N/A,#N/A,FALSE,"단가표지"}</definedName>
    <definedName name="ㅓㅗ허" hidden="1">{#N/A,#N/A,FALSE,"조골재"}</definedName>
    <definedName name="ㅓㅗ허ㅗㄹ" hidden="1">{#N/A,#N/A,FALSE,"운반시간"}</definedName>
    <definedName name="ㅓㅗ허ㅗㅎㄹ" hidden="1">{#N/A,#N/A,FALSE,"골재소요량";#N/A,#N/A,FALSE,"골재소요량"}</definedName>
    <definedName name="ㅓㅗ허ㅗㅎ러" hidden="1">{#N/A,#N/A,FALSE,"운반시간"}</definedName>
    <definedName name="ㅓㅗ헝홍허" hidden="1">{#N/A,#N/A,FALSE,"골재소요량";#N/A,#N/A,FALSE,"골재소요량"}</definedName>
    <definedName name="ㅓㅗ헣ㄹ" hidden="1">{#N/A,#N/A,FALSE,"단가표지"}</definedName>
    <definedName name="ㅓㅗ헣러" hidden="1">{#N/A,#N/A,FALSE,"단가표지"}</definedName>
    <definedName name="ㅓㅗ헣로ㅓ" hidden="1">{#N/A,#N/A,FALSE,"조골재"}</definedName>
    <definedName name="ㅓㅗ헣호ㅓ" hidden="1">{#N/A,#N/A,FALSE,"조골재"}</definedName>
    <definedName name="ㅓㅗ호" hidden="1">{#N/A,#N/A,FALSE,"단가표지"}</definedName>
    <definedName name="ㅓㅗ호ㅓㅗ" hidden="1">{#N/A,#N/A,FALSE,"2~8번"}</definedName>
    <definedName name="ㅓㅗㅓ" localSheetId="0" hidden="1">{#N/A,#N/A,FALSE,"2~8번"}</definedName>
    <definedName name="ㅓㅗㅓ" hidden="1">{#N/A,#N/A,FALSE,"2~8번"}</definedName>
    <definedName name="ㅓㅗㅗ" hidden="1">{#N/A,#N/A,FALSE,"단가표지"}</definedName>
    <definedName name="ㅓㅗㅗㅓㅗㅓㅗㅓㅗ" hidden="1">{"'중기작업1'!$A$1:$V$18"}</definedName>
    <definedName name="ㅓㅗㅗㅗ" hidden="1">{#N/A,#N/A,FALSE,"골재소요량";#N/A,#N/A,FALSE,"골재소요량"}</definedName>
    <definedName name="ㅓㅘㅗㅓ" hidden="1">#REF!</definedName>
    <definedName name="ㅓㅡㅓ" hidden="1">{"1단계 투자비명세",#N/A,FALSE,"투자비명세";"2단계 투자비명세",#N/A,FALSE,"투자비명세"}</definedName>
    <definedName name="ㅓㅣㅏㅗㅓㅣㅏㅓㅗ" hidden="1">#N/A</definedName>
    <definedName name="ㅔ" hidden="1">{#N/A,#N/A,FALSE,"이태원철근"}</definedName>
    <definedName name="ㅔ3" hidden="1">{#N/A,#N/A,FALSE,"배수1"}</definedName>
    <definedName name="ㅔㅁ" hidden="1">#REF!</definedName>
    <definedName name="ㅔㅔ" localSheetId="0" hidden="1">#REF!</definedName>
    <definedName name="ㅔㅔ" hidden="1">{#N/A,#N/A,FALSE,"명세표"}</definedName>
    <definedName name="ㅔㅔㅔㅔㅔㅔ" hidden="1">{#N/A,#N/A,FALSE,"부대2"}</definedName>
    <definedName name="ㅕ" hidden="1">{#N/A,#N/A,FALSE,"단면 제원"}</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 hidden="1">{#N/A,#N/A,FALSE,"2~8번"}</definedName>
    <definedName name="ㅕㅑㅐ" hidden="1">{#N/A,#N/A,FALSE,"부대1"}</definedName>
    <definedName name="ㅕㅑㅑㅑ" hidden="1">{#N/A,#N/A,FALSE,"조골재"}</definedName>
    <definedName name="ㅕㅑㅔ" hidden="1">{#N/A,#N/A,FALSE,"부대2"}</definedName>
    <definedName name="ㅕㅕㅕ" hidden="1">{#N/A,#N/A,FALSE,"혼합골재"}</definedName>
    <definedName name="ㅕㅕㅕㅕ" hidden="1">{#N/A,#N/A,FALSE,"표지목차"}</definedName>
    <definedName name="ㅕㅕㅕㅕㅕ" hidden="1">{#N/A,#N/A,FALSE,"운반시간"}</definedName>
    <definedName name="ㅕㅕㅕㅕㅕㅕ" hidden="1">{#N/A,#N/A,FALSE,"단가표지"}</definedName>
    <definedName name="ㅕㅕㅕㅕㅕㅕㅕㅕ" hidden="1">{#N/A,#N/A,FALSE,"조골재"}</definedName>
    <definedName name="ㅕㅕㅛㅛㅛ" hidden="1">{#N/A,#N/A,FALSE,"부대1"}</definedName>
    <definedName name="ㅕㅛㅑㅕㅑ" hidden="1">{#N/A,#N/A,FALSE,"전열산출서"}</definedName>
    <definedName name="ㅗ" hidden="1">{#N/A,#N/A,FALSE,"전력간선"}</definedName>
    <definedName name="ㅗㄴ1ㅗㄴ11ㄴ" hidden="1">#REF!</definedName>
    <definedName name="ㅗㄴㅇ라ㅗㄴㅇ러ㅏ" hidden="1">#REF!</definedName>
    <definedName name="ㅗㄹㄶ" hidden="1">{#N/A,#N/A,FALSE,"조골재"}</definedName>
    <definedName name="ㅗㄹ올ㅇ" hidden="1">#N/A</definedName>
    <definedName name="ㅗㄹ옿ㅎㄹ" hidden="1">#N/A</definedName>
    <definedName name="ㅗㄹ호" hidden="1">{#N/A,#N/A,FALSE,"운반시간"}</definedName>
    <definedName name="ㅗㄹ호홓로" hidden="1">#REF!</definedName>
    <definedName name="ㅗㅅㄱ" hidden="1">{#N/A,#N/A,TRUE,"토적및재료집계";#N/A,#N/A,TRUE,"토적및재료집계";#N/A,#N/A,TRUE,"단위량"}</definedName>
    <definedName name="ㅗㅅㄱ솏" hidden="1">#N/A</definedName>
    <definedName name="ㅗㅍ초" hidden="1">{#N/A,#N/A,FALSE,"2~8번"}</definedName>
    <definedName name="ㅗㅎ" hidden="1">{#N/A,#N/A,TRUE,"Y생산";#N/A,#N/A,TRUE,"Y판매";#N/A,#N/A,TRUE,"Y총물량";#N/A,#N/A,TRUE,"Y능력";#N/A,#N/A,TRUE,"YKD"}</definedName>
    <definedName name="ㅗㅎㄴ" hidden="1">{#N/A,#N/A,FALSE,"골재소요량";#N/A,#N/A,FALSE,"골재소요량"}</definedName>
    <definedName name="ㅗㅎㄴㄹ" hidden="1">{#N/A,#N/A,FALSE,"단가표지"}</definedName>
    <definedName name="ㅗㅎㄶ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ㅎ러허" hidden="1">#N/A</definedName>
    <definedName name="ㅗㅎ로오" hidden="1">#N/A</definedName>
    <definedName name="ㅗㅎ로ㅜ" hidden="1">{#N/A,#N/A,FALSE,"운반시간"}</definedName>
    <definedName name="ㅗㅎ론ㄹ" hidden="1">{#N/A,#N/A,FALSE,"표지목차"}</definedName>
    <definedName name="ㅗㅎ롯홋ㄱ" hidden="1">{#N/A,#N/A,FALSE,"혼합골재"}</definedName>
    <definedName name="ㅗㅎ롷ㄹㄴ호롷ㄹㄴ" hidden="1">{#N/A,#N/A,FALSE,"현장 NCR 분석";#N/A,#N/A,FALSE,"현장품질감사";#N/A,#N/A,FALSE,"현장품질감사"}</definedName>
    <definedName name="ㅗㅎ롷ㄹ올ㅇ" hidden="1">#N/A</definedName>
    <definedName name="ㅗㅎㅅ" hidden="1">{"'공사부문'!$A$6:$A$32"}</definedName>
    <definedName name="ㅗㅎㅇㅀ" hidden="1">#N/A</definedName>
    <definedName name="ㅗㅎㅎ로" hidden="1">#REF!</definedName>
    <definedName name="ㅗㅎㅎㅌㄹㅋㅅ" hidden="1">{#N/A,#N/A,FALSE,"2~8번"}</definedName>
    <definedName name="ㅗ허ㅗ" hidden="1">{#N/A,#N/A,FALSE,"단가표지"}</definedName>
    <definedName name="ㅗ호" localSheetId="0" hidden="1">{#N/A,#N/A,FALSE,"조골재"}</definedName>
    <definedName name="ㅗ호" hidden="1">{#N/A,#N/A,FALSE,"조골재"}</definedName>
    <definedName name="ㅗ홍ㄹ노" hidden="1">{"총괄자금운영표",#N/A,FALSE,"자금운영표";"1단계자금운영표(불변)",#N/A,FALSE,"자금운영표";"2단계자금운영표(불변)",#N/A,FALSE,"자금운영표"}</definedName>
    <definedName name="ㅗㅓ" localSheetId="0" hidden="1">{#N/A,#N/A,FALSE,"조골재"}</definedName>
    <definedName name="ㅗㅓ" hidden="1">{"'제조(순번)'!$A$386:$A$387","'제조(순번)'!$A$1:$H$399"}</definedName>
    <definedName name="ㅗㅓ쇼ㅓㅕㄷ쇼ㅓㅕㄷㅅ" hidden="1">{#N/A,#N/A,FALSE,"단가표지"}</definedName>
    <definedName name="ㅗㅓㅎ로ㅓㅎㄹ" hidden="1">{#N/A,#N/A,FALSE,"표지목차"}</definedName>
    <definedName name="ㅗㅓㅏㅗ" hidden="1">#N/A</definedName>
    <definedName name="ㅗㅓㅓㅏ" hidden="1">#N/A</definedName>
    <definedName name="ㅗㅓㅗ" localSheetId="0" hidden="1">{#N/A,#N/A,FALSE,"골재소요량";#N/A,#N/A,FALSE,"골재소요량"}</definedName>
    <definedName name="ㅗㅓㅗ" hidden="1">{#N/A,#N/A,FALSE,"골재소요량";#N/A,#N/A,FALSE,"골재소요량"}</definedName>
    <definedName name="ㅗㅗ" hidden="1">{#N/A,#N/A,FALSE,"명세표"}</definedName>
    <definedName name="ㅗㅗㄹ" hidden="1">#REF!</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ㅗ" hidden="1">#REF!</definedName>
    <definedName name="ㅗㅗㅗㅗㅗ" localSheetId="0" hidden="1">{"'중기작업1'!$A$1:$V$18"}</definedName>
    <definedName name="ㅗㅗㅗㅗㅗ" hidden="1">{#N/A,#N/A,FALSE,"현장 NCR 분석";#N/A,#N/A,FALSE,"현장품질감사";#N/A,#N/A,FALSE,"현장품질감사"}</definedName>
    <definedName name="ㅗㅗㅗㅗㅗㅗ" hidden="1">{#N/A,#N/A,FALSE,"2~8번"}</definedName>
    <definedName name="ㅗㅗㅗㅗㅗㅗㅗ" hidden="1">{"'산출근거'!$B$4:$D$8"}</definedName>
    <definedName name="ㅗㅗㅗㅗㅗㅗㅗㅗㅗㅗ" hidden="1">{"'산출근거'!$B$4:$D$8"}</definedName>
    <definedName name="ㅗㅗㅜㅜ" hidden="1">{#N/A,#N/A,FALSE,"조골재"}</definedName>
    <definedName name="ㅗㅗㅜㅜㅜㅜ" hidden="1">{#N/A,#N/A,FALSE,"운반시간"}</definedName>
    <definedName name="ㅗㅛㅗㅎㄹ" hidden="1">{"운영수익1",#N/A,FALSE,"운영수익";"운영수익2",#N/A,FALSE,"운영수익";"운영수익3",#N/A,FALSE,"운영수익"}</definedName>
    <definedName name="ㅗㅜㅗㅜㅗㅜ" hidden="1">{#N/A,#N/A,FALSE,"운반시간"}</definedName>
    <definedName name="ㅗㅜㅗㅜㅗㅜㅗㅗㅗㅗ" hidden="1">{#N/A,#N/A,FALSE,"조골재"}</definedName>
    <definedName name="ㅗㅜㅗㅜㅗㅜㅗㅜㅗㅜ" hidden="1">{#N/A,#N/A,FALSE,"운반시간"}</definedName>
    <definedName name="ㅗㅠㅊㅌㅍㅇㄹㅇㅀ" hidden="1">{"배후단지",#N/A,FALSE,"배후단지 및 부대사업"}</definedName>
    <definedName name="ㅗㅠㅍ" hidden="1">{#N/A,#N/A,FALSE,"혼합골재"}</definedName>
    <definedName name="ㅘㅏㅏㅓ허" hidden="1">#N/A</definedName>
    <definedName name="ㅘㅓ" localSheetId="0" hidden="1">{#N/A,#N/A,FALSE,"운반시간"}</definedName>
    <definedName name="ㅘㅓ" hidden="1">{#N/A,#N/A,FALSE,"운반시간"}</definedName>
    <definedName name="ㅘㅓㅏㄴ" hidden="1">{"'용역비'!$A$4:$C$8"}</definedName>
    <definedName name="ㅘㅗ허ㅎ" hidden="1">#REF!</definedName>
    <definedName name="ㅘㅗㅓㅘ" hidden="1">{#N/A,#N/A,FALSE,"단가표지"}</definedName>
    <definedName name="ㅘㅣㅗ하ㅓㅣ호" hidden="1">#REF!</definedName>
    <definedName name="ㅛ" hidden="1">{#N/A,#N/A,FALSE,"이태원철근"}</definedName>
    <definedName name="ㅛ셔됴ㅕ" hidden="1">{#N/A,#N/A,FALSE,"운반시간"}</definedName>
    <definedName name="ㅛ셔으ㅜㅅ구" hidden="1">{#N/A,#N/A,FALSE,"2~8번"}</definedName>
    <definedName name="ㅛㅇ수ㅜㅛㅅㅇ" hidden="1">{#N/A,#N/A,FALSE,"2~8번"}</definedName>
    <definedName name="ㅛㅓㄴㄱ5" hidden="1">{#N/A,#N/A,FALSE,"단가표지"}</definedName>
    <definedName name="ㅛㅕ"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ㅕㄱ" hidden="1">{#N/A,#N/A,FALSE,"조골재"}</definedName>
    <definedName name="ㅛㅕㄹ" hidden="1">{#N/A,#N/A,FALSE,"속도"}</definedName>
    <definedName name="ㅛㅕㅕㅑㅓ" hidden="1">{#N/A,#N/A,FALSE,"표지목차"}</definedName>
    <definedName name="ㅛㅛ" hidden="1">{#N/A,#N/A,FALSE,"전열산출서"}</definedName>
    <definedName name="ㅛㅛㅗㅛㅗㅛㅗㅛ" hidden="1">{"추정대차대조표",#N/A,FALSE,"추정BS"}</definedName>
    <definedName name="ㅛㅛㅛ" hidden="1">{#N/A,#N/A,FALSE,"단면 제원"}</definedName>
    <definedName name="ㅛㅛㅛㅛ" hidden="1">#REF!</definedName>
    <definedName name="ㅛㅛㅛㅛㅛㅛ" hidden="1">{#N/A,#N/A,FALSE,"골재소요량";#N/A,#N/A,FALSE,"골재소요량"}</definedName>
    <definedName name="ㅛㅛㅛㅛㅛㅛㅛ" hidden="1">{#N/A,#N/A,FALSE,"단가표지"}</definedName>
    <definedName name="ㅛㅛㅛㅛㅛㅛㅛㅛㅛㅛㅛㅛㅛㅛㅛㅛㅛㅛ" hidden="1">#REF!</definedName>
    <definedName name="ㅛㅛㅛㅛㅛㅛㅛㅛㅛㅛㅛㅛㅛㅛㅛㅛㅛㅛㅛㅛㅛㅛㅛㅛㅛㅛㅛㅛㅛㅛㅛㅛㅛㅛㅛㅛㅛㅛㅛㅛㅛㅛㅛㅛㅛㅛㅛㅛㅛ" hidden="1">#REF!</definedName>
    <definedName name="ㅛㅠㅗㄱ셔ㅛ" hidden="1">{#N/A,#N/A,FALSE,"조골재"}</definedName>
    <definedName name="ㅜ" hidden="1">{#N/A,#N/A,FALSE,"조골재"}</definedName>
    <definedName name="ㅜㄴ" hidden="1">{#N/A,#N/A,FALSE,"운반시간"}</definedName>
    <definedName name="ㅜㄴㄱ" hidden="1">{#N/A,#N/A,FALSE,"운반시간"}</definedName>
    <definedName name="ㅜㄹ윤" hidden="1">{#N/A,#N/A,FALSE,"단가표지"}</definedName>
    <definedName name="ㅜㅁㄴ아ㅑ" hidden="1">{#N/A,#N/A,FALSE,"단가표지"}</definedName>
    <definedName name="ㅜ아ㅏ후" hidden="1">{#N/A,#N/A,FALSE,"골재소요량";#N/A,#N/A,FALSE,"골재소요량"}</definedName>
    <definedName name="ㅜ여숫유" hidden="1">{#N/A,#N/A,FALSE,"운반시간"}</definedName>
    <definedName name="ㅜㅊㅍ" hidden="1">{#N/A,#N/A,FALSE,"표지목차"}</definedName>
    <definedName name="ㅜㅋㅊㅍ" hidden="1">{#N/A,#N/A,FALSE,"조골재"}</definedName>
    <definedName name="ㅜㅍ추ㅠ" hidden="1">{#N/A,#N/A,FALSE,"혼합골재"}</definedName>
    <definedName name="ㅜㅎㄴ" hidden="1">{#N/A,#N/A,FALSE,"골재소요량";#N/A,#N/A,FALSE,"골재소요량"}</definedName>
    <definedName name="ㅜㅎㅅㄱㄴ" hidden="1">{#N/A,#N/A,FALSE,"단가표지"}</definedName>
    <definedName name="ㅜ후ㅗㅜㅗ" hidden="1">{#N/A,#N/A,FALSE,"단가표지"}</definedName>
    <definedName name="ㅜㅗㅇㅎㅌ" hidden="1">{#N/A,#N/A,FALSE,"단가표지"}</definedName>
    <definedName name="ㅜㅗㅇ훟" hidden="1">{#N/A,#N/A,FALSE,"단가표지"}</definedName>
    <definedName name="ㅜㅗㅗ" hidden="1">{#N/A,#N/A,FALSE,"2~8번"}</definedName>
    <definedName name="ㅜㅗㅗㅗㅇㅎ" hidden="1">{#N/A,#N/A,FALSE,"운반시간"}</definedName>
    <definedName name="ㅜㅗㅜㅜㅜㅜㅜㅜㅜㅜㅜ" hidden="1">{#N/A,#N/A,FALSE,"2~8번"}</definedName>
    <definedName name="ㅜㅜ" localSheetId="0" hidden="1">{#N/A,#N/A,FALSE,"혼합골재"}</definedName>
    <definedName name="ㅜㅜ" hidden="1">{#N/A,#N/A,FALSE,"운반시간"}</definedName>
    <definedName name="ㅜㅜㅜㅜㅜㅜㅜㅜㅜㅜ" hidden="1">{#N/A,#N/A,FALSE,"조골재"}</definedName>
    <definedName name="ㅜㅜㅜㅜㅜㅜㅜㅜㅜㅜㅜ" hidden="1">{#N/A,#N/A,FALSE,"조골재"}</definedName>
    <definedName name="ㅜㅜㅜㅜㅜㅜㅜㅜㅜㅜㅜㅜㅜㅜㅜㅜㅜㅜㅜㅜㅜㅜㅜㅜㅜㅜㅜㅜㅜㅜㅜㅜㅜㅜ" hidden="1">{"'Sheet1'!$A$4","'Sheet1'!$A$9:$G$28"}</definedName>
    <definedName name="ㅜㅠ푸" hidden="1">{#N/A,#N/A,FALSE,"운반시간"}</definedName>
    <definedName name="ㅜㅠㅠ" hidden="1">{#N/A,#N/A,FALSE,"골재소요량";#N/A,#N/A,FALSE,"골재소요량"}</definedName>
    <definedName name="ㅝㅎㄹ" hidden="1">{#N/A,#N/A,FALSE,"단가표지"}</definedName>
    <definedName name="ㅝㅎㄹ촉ㅇ" hidden="1">{#N/A,#N/A,FALSE,"조골재"}</definedName>
    <definedName name="ㅠ" hidden="1">{#N/A,#N/A,FALSE,"표지목차"}</definedName>
    <definedName name="ㅠㄱ소슈" hidden="1">{#N/A,#N/A,FALSE,"골재소요량";#N/A,#N/A,FALSE,"골재소요량"}</definedName>
    <definedName name="ㅠㄴ" hidden="1">{#N/A,#N/A,FALSE,"조골재"}</definedName>
    <definedName name="ㅠㄶㅁㅎ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ㄹㅇㄴㄴㄹㅇ" hidden="1">{#N/A,#N/A,FALSE,"단가표지"}</definedName>
    <definedName name="ㅠ뮤ㅐ" hidden="1">#REF!</definedName>
    <definedName name="ㅠㅅ롯고" hidden="1">{#N/A,#N/A,FALSE,"골재소요량";#N/A,#N/A,FALSE,"골재소요량"}</definedName>
    <definedName name="ㅠ숑ㄱ쇼ㅠㅠㅅ" hidden="1">{#N/A,#N/A,FALSE,"단가표지"}</definedName>
    <definedName name="ㅠㅊㅌ퓿ㅌ" hidden="1">{#N/A,#N/A,FALSE,"2~8번"}</definedName>
    <definedName name="ㅠㅊㅍㅌ" hidden="1">{#N/A,#N/A,FALSE,"단가표지"}</definedName>
    <definedName name="ㅠㅊㅍ튜" hidden="1">{#N/A,#N/A,FALSE,"단가표지"}</definedName>
    <definedName name="ㅠㅊㅍ튵ㅊ" hidden="1">{#N/A,#N/A,FALSE,"운반시간"}</definedName>
    <definedName name="ㅠㅊ픁츄" hidden="1">{#N/A,#N/A,FALSE,"단가표지"}</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ㅊ" hidden="1">{#N/A,#N/A,FALSE,"단가표지"}</definedName>
    <definedName name="ㅠㅍㅊ튳" hidden="1">{#N/A,#N/A,FALSE,"표지목차"}</definedName>
    <definedName name="ㅠㅍㅊ튳ㅌㅍ" hidden="1">{#N/A,#N/A,FALSE,"조골재"}</definedName>
    <definedName name="ㅠㅍㅊ튵" hidden="1">{#N/A,#N/A,FALSE,"골재소요량";#N/A,#N/A,FALSE,"골재소요량"}</definedName>
    <definedName name="ㅠㅍㅊ튵ㅊ" hidden="1">{#N/A,#N/A,FALSE,"단가표지"}</definedName>
    <definedName name="ㅠㅍ츄ㅜ" hidden="1">{#N/A,#N/A,FALSE,"단가표지"}</definedName>
    <definedName name="ㅠㅍ츛ㅍ" hidden="1">{#N/A,#N/A,FALSE,"혼합골재"}</definedName>
    <definedName name="ㅠㅍ츜ㅊ" hidden="1">{#N/A,#N/A,FALSE,"2~8번"}</definedName>
    <definedName name="ㅠㅍ츜ㅍ" hidden="1">{#N/A,#N/A,FALSE,"조골재"}</definedName>
    <definedName name="ㅠㅍ츝" hidden="1">{#N/A,#N/A,FALSE,"운반시간"}</definedName>
    <definedName name="ㅠㅍ츝ㅊ" hidden="1">{#N/A,#N/A,FALSE,"단가표지"}</definedName>
    <definedName name="ㅠㅍㅋㅊㅍㅍ" hidden="1">{#N/A,#N/A,FALSE,"단가표지"}</definedName>
    <definedName name="ㅠ퓿큨ㅊ" hidden="1">{#N/A,#N/A,FALSE,"단가표지"}</definedName>
    <definedName name="ㅠ픀ㅊ" hidden="1">{#N/A,#N/A,FALSE,"단가표지"}</definedName>
    <definedName name="ㅠ픀ㅊㅍ" hidden="1">{#N/A,#N/A,FALSE,"표지목차"}</definedName>
    <definedName name="ㅠ픀ㅋㅊㅍ" hidden="1">{#N/A,#N/A,FALSE,"운반시간"}</definedName>
    <definedName name="ㅠㅠ" localSheetId="0" hidden="1">{#N/A,#N/A,FALSE,"골재소요량";#N/A,#N/A,FALSE,"골재소요량"}</definedName>
    <definedName name="ㅠㅠ" hidden="1">{#N/A,#N/A,TRUE,"총괄"}</definedName>
    <definedName name="ㅠㅠㅠ" hidden="1">{"대출금상환계획",#N/A,FALSE,"추정IS,CF,무상사용"}</definedName>
    <definedName name="ㅠㅠㅠㅠ" hidden="1">{#N/A,#N/A,FALSE,"운반시간"}</definedName>
    <definedName name="ㅠㅠㅠㅠㅠㅠㅠ" hidden="1">{"'중기작업1'!$A$1:$V$18"}</definedName>
    <definedName name="ㅡ" hidden="1">{#N/A,#N/A,FALSE,"2~8번"}</definedName>
    <definedName name="ㅡㅏㅏ" hidden="1">{#N/A,#N/A,FALSE,"현장 NCR 분석";#N/A,#N/A,FALSE,"현장품질감사";#N/A,#N/A,FALSE,"현장품질감사"}</definedName>
    <definedName name="ㅡㅗㅓㅓㅡㅗㅗㅓㅓㅗ" hidden="1">{#N/A,#N/A,FALSE,"운반시간"}</definedName>
    <definedName name="ㅡㅡ" hidden="1">{#N/A,#N/A,FALSE,"명세표"}</definedName>
    <definedName name="ㅡㅡㅡ" hidden="1">{#N/A,#N/A,FALSE,"골재소요량";#N/A,#N/A,FALSE,"골재소요량"}</definedName>
    <definedName name="ㅡㅡㅡㅡㅡ" hidden="1">{#N/A,#N/A,FALSE,"운반시간"}</definedName>
    <definedName name="ㅢㅏㅇ너라ㅓ" hidden="1">{#N/A,#N/A,FALSE,"운반시간"}</definedName>
    <definedName name="ㅣ" hidden="1">#REF!</definedName>
    <definedName name="ㅣㅎㄹㅇㅇ" hidden="1">{#N/A,#N/A,FALSE,"토공2"}</definedName>
    <definedName name="ㅣ허ㅏㅣ하" hidden="1">{#N/A,#N/A,FALSE,"혼합골재"}</definedName>
    <definedName name="ㅣ허ㅣ호ㅓㅏ" hidden="1">{#N/A,#N/A,FALSE,"조골재"}</definedName>
    <definedName name="ㅣㅏ" hidden="1">{#N/A,#N/A,FALSE,"단축1";#N/A,#N/A,FALSE,"단축2";#N/A,#N/A,FALSE,"단축3";#N/A,#N/A,FALSE,"장축";#N/A,#N/A,FALSE,"4WD"}</definedName>
    <definedName name="ㅣㅏ허ㅏ허ㅏ허ㅏ" hidden="1">{#N/A,#N/A,FALSE,"단가표지"}</definedName>
    <definedName name="ㅣㅏㅓ" localSheetId="0" hidden="1">{#N/A,#N/A,FALSE,"운반시간"}</definedName>
    <definedName name="ㅣㅏㅓ" hidden="1">{#N/A,#N/A,FALSE,"운반시간"}</definedName>
    <definedName name="ㅣㅏㅓㅎ" hidden="1">{#N/A,#N/A,FALSE,"단가표지"}</definedName>
    <definedName name="ㅣㅏㅓ허ㅏㅓㅎ" hidden="1">{#N/A,#N/A,FALSE,"표지목차"}</definedName>
    <definedName name="ㅣㅏㅓㅣ허ㅏㅎ" hidden="1">{#N/A,#N/A,FALSE,"골재소요량";#N/A,#N/A,FALSE,"골재소요량"}</definedName>
    <definedName name="ㅣㅏㅓㅣ허ㅏㅏ허" hidden="1">{#N/A,#N/A,FALSE,"조골재"}</definedName>
    <definedName name="ㅣㅏㅓㅣㅏㅓㅣ" hidden="1">{#N/A,#N/A,FALSE,"속도"}</definedName>
    <definedName name="ㅣㅑㅁ어리" hidden="1">{#N/A,#N/A,FALSE,"조골재"}</definedName>
    <definedName name="ㅣㅑ엄리먼ㅇㄹ" hidden="1">{#N/A,#N/A,FALSE,"조골재"}</definedName>
    <definedName name="ㅣㅑㅑ" localSheetId="0" hidden="1">{#N/A,#N/A,FALSE,"단가표지"}</definedName>
    <definedName name="ㅣㅑㅑ" hidden="1">{#N/A,#N/A,FALSE,"단가표지"}</definedName>
    <definedName name="ㅣㅑㅣㅣ" hidden="1">{#N/A,#N/A,FALSE,"혼합골재"}</definedName>
    <definedName name="ㅣㅓㅏ허" hidden="1">{#N/A,#N/A,FALSE,"운반시간"}</definedName>
    <definedName name="ㅣㅓㅏ허ㅏㅣ허ㅏㅓ" hidden="1">{#N/A,#N/A,FALSE,"운반시간"}</definedName>
    <definedName name="ㅣㅓㅘㅣ" hidden="1">#REF!</definedName>
    <definedName name="ㅣㅚㅓㅏ" hidden="1">{#N/A,#N/A,FALSE,"단가표지"}</definedName>
    <definedName name="ㅣㅣ" hidden="1">{#N/A,#N/A,FALSE,"골재소요량";#N/A,#N/A,FALSE,"골재소요량"}</definedName>
    <definedName name="ㅣㅣㅏㅣㅏㅣㅏㅣ" hidden="1">{"'중기작업1'!$A$1:$V$18"}</definedName>
    <definedName name="ㅣㅣㅣ" hidden="1">#REF!</definedName>
    <definedName name="ㅣㅣㅣㅣ" hidden="1">#REF!</definedName>
    <definedName name="ㅣㅣㅣㅣㅣ" hidden="1">#REF!</definedName>
    <definedName name="ㅣㅣㅣㅣㅣㅣ" hidden="1">#REF!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7" i="2" l="1"/>
  <c r="Y45" i="2" l="1"/>
  <c r="AG44" i="2"/>
  <c r="AB44" i="2"/>
  <c r="Y44" i="2"/>
  <c r="V44" i="2"/>
  <c r="X44" i="2" s="1"/>
  <c r="AC44" i="2" s="1"/>
  <c r="Y43" i="2"/>
  <c r="AG42" i="2"/>
  <c r="Y42" i="2"/>
  <c r="V42" i="2"/>
  <c r="AB43" i="2" s="1"/>
  <c r="AC43" i="2" s="1"/>
  <c r="Y41" i="2"/>
  <c r="AG40" i="2"/>
  <c r="Y40" i="2"/>
  <c r="Z40" i="2" s="1"/>
  <c r="AA40" i="2" s="1"/>
  <c r="V40" i="2"/>
  <c r="Y39" i="2"/>
  <c r="AG38" i="2"/>
  <c r="AC38" i="2"/>
  <c r="AB38" i="2"/>
  <c r="Y38" i="2"/>
  <c r="V38" i="2"/>
  <c r="Y37" i="2"/>
  <c r="AG36" i="2"/>
  <c r="Y36" i="2"/>
  <c r="V36" i="2"/>
  <c r="Y35" i="2"/>
  <c r="AG34" i="2"/>
  <c r="AC34" i="2"/>
  <c r="AB34" i="2"/>
  <c r="Y34" i="2"/>
  <c r="Z34" i="2" s="1"/>
  <c r="AA34" i="2" s="1"/>
  <c r="V34" i="2"/>
  <c r="X34" i="2" s="1"/>
  <c r="Y33" i="2"/>
  <c r="AG32" i="2"/>
  <c r="AB32" i="2"/>
  <c r="Y32" i="2"/>
  <c r="Z32" i="2" s="1"/>
  <c r="AA32" i="2" s="1"/>
  <c r="V32" i="2"/>
  <c r="X32" i="2" s="1"/>
  <c r="AC32" i="2" s="1"/>
  <c r="Y31" i="2"/>
  <c r="AG30" i="2"/>
  <c r="Y30" i="2"/>
  <c r="V30" i="2"/>
  <c r="X30" i="2" s="1"/>
  <c r="Y29" i="2"/>
  <c r="AG28" i="2"/>
  <c r="Y28" i="2"/>
  <c r="V28" i="2"/>
  <c r="Y27" i="2"/>
  <c r="AG26" i="2"/>
  <c r="AC26" i="2"/>
  <c r="AB26" i="2"/>
  <c r="Y26" i="2"/>
  <c r="Z26" i="2" s="1"/>
  <c r="AA26" i="2" s="1"/>
  <c r="V26" i="2"/>
  <c r="AB27" i="2" s="1"/>
  <c r="AC27" i="2" s="1"/>
  <c r="Y25" i="2"/>
  <c r="AG24" i="2"/>
  <c r="AC24" i="2"/>
  <c r="AB24" i="2"/>
  <c r="Y24" i="2"/>
  <c r="X24" i="2"/>
  <c r="V24" i="2"/>
  <c r="AB25" i="2" s="1"/>
  <c r="AC25" i="2" s="1"/>
  <c r="Y23" i="2"/>
  <c r="AG22" i="2"/>
  <c r="AB22" i="2"/>
  <c r="Y22" i="2"/>
  <c r="V22" i="2"/>
  <c r="X22" i="2" s="1"/>
  <c r="Y21" i="2"/>
  <c r="AG20" i="2"/>
  <c r="AB20" i="2"/>
  <c r="Y20" i="2"/>
  <c r="V20" i="2"/>
  <c r="Y19" i="2"/>
  <c r="AG18" i="2"/>
  <c r="Y18" i="2"/>
  <c r="V18" i="2"/>
  <c r="X18" i="2" s="1"/>
  <c r="Y17" i="2"/>
  <c r="AG16" i="2"/>
  <c r="Y16" i="2"/>
  <c r="Z16" i="2" s="1"/>
  <c r="AA16" i="2" s="1"/>
  <c r="V16" i="2"/>
  <c r="Y15" i="2"/>
  <c r="AG14" i="2"/>
  <c r="Y14" i="2"/>
  <c r="V14" i="2"/>
  <c r="Y13" i="2"/>
  <c r="Z12" i="2" s="1"/>
  <c r="AA12" i="2" s="1"/>
  <c r="AG12" i="2"/>
  <c r="Y12" i="2"/>
  <c r="V12" i="2"/>
  <c r="AB13" i="2" s="1"/>
  <c r="AC13" i="2" s="1"/>
  <c r="Z44" i="2" l="1"/>
  <c r="AA44" i="2" s="1"/>
  <c r="AA45" i="2" s="1"/>
  <c r="AB45" i="2"/>
  <c r="AC45" i="2" s="1"/>
  <c r="Z42" i="2"/>
  <c r="AA42" i="2" s="1"/>
  <c r="AA43" i="2" s="1"/>
  <c r="X42" i="2"/>
  <c r="X46" i="2" s="1"/>
  <c r="AA41" i="2"/>
  <c r="X40" i="2"/>
  <c r="Z38" i="2"/>
  <c r="AA38" i="2" s="1"/>
  <c r="AA39" i="2" s="1"/>
  <c r="X38" i="2"/>
  <c r="Z36" i="2"/>
  <c r="AA36" i="2" s="1"/>
  <c r="AA37" i="2" s="1"/>
  <c r="X36" i="2"/>
  <c r="AB35" i="2"/>
  <c r="AC35" i="2" s="1"/>
  <c r="AA35" i="2"/>
  <c r="AA33" i="2"/>
  <c r="AB33" i="2"/>
  <c r="AC33" i="2" s="1"/>
  <c r="Z30" i="2"/>
  <c r="AA30" i="2" s="1"/>
  <c r="AB30" i="2"/>
  <c r="AC30" i="2"/>
  <c r="AB31" i="2"/>
  <c r="AC31" i="2" s="1"/>
  <c r="AA31" i="2"/>
  <c r="AB29" i="2"/>
  <c r="AC29" i="2" s="1"/>
  <c r="Z28" i="2"/>
  <c r="AA28" i="2" s="1"/>
  <c r="AA29" i="2" s="1"/>
  <c r="X28" i="2"/>
  <c r="X26" i="2"/>
  <c r="AA27" i="2"/>
  <c r="AD26" i="2" s="1"/>
  <c r="AE26" i="2" s="1"/>
  <c r="Z24" i="2"/>
  <c r="AA24" i="2" s="1"/>
  <c r="AA25" i="2" s="1"/>
  <c r="AD24" i="2" s="1"/>
  <c r="AE24" i="2" s="1"/>
  <c r="Z22" i="2"/>
  <c r="AA22" i="2" s="1"/>
  <c r="AA23" i="2" s="1"/>
  <c r="AB23" i="2"/>
  <c r="AC23" i="2" s="1"/>
  <c r="AC22" i="2"/>
  <c r="Z20" i="2"/>
  <c r="AA20" i="2" s="1"/>
  <c r="AA21" i="2" s="1"/>
  <c r="X20" i="2"/>
  <c r="AC20" i="2" s="1"/>
  <c r="AC18" i="2"/>
  <c r="AB18" i="2"/>
  <c r="Z18" i="2"/>
  <c r="AA18" i="2" s="1"/>
  <c r="AA19" i="2" s="1"/>
  <c r="AB19" i="2"/>
  <c r="AC19" i="2" s="1"/>
  <c r="AA17" i="2"/>
  <c r="X16" i="2"/>
  <c r="AB17" i="2" s="1"/>
  <c r="AC17" i="2" s="1"/>
  <c r="Z14" i="2"/>
  <c r="AA14" i="2" s="1"/>
  <c r="AA15" i="2" s="1"/>
  <c r="X14" i="2"/>
  <c r="AB15" i="2" s="1"/>
  <c r="AC15" i="2" s="1"/>
  <c r="AA13" i="2"/>
  <c r="X12" i="2"/>
  <c r="F203" i="3"/>
  <c r="F163" i="3"/>
  <c r="F83" i="3"/>
  <c r="F43" i="3"/>
  <c r="M43" i="3"/>
  <c r="M203" i="3"/>
  <c r="L203" i="3"/>
  <c r="K203" i="3"/>
  <c r="I203" i="3"/>
  <c r="E203" i="3"/>
  <c r="C203" i="3"/>
  <c r="A203" i="3"/>
  <c r="M193" i="3"/>
  <c r="L193" i="3"/>
  <c r="K193" i="3"/>
  <c r="I193" i="3"/>
  <c r="F193" i="3"/>
  <c r="E193" i="3"/>
  <c r="C193" i="3"/>
  <c r="A193" i="3"/>
  <c r="M183" i="3"/>
  <c r="L183" i="3"/>
  <c r="K183" i="3"/>
  <c r="I183" i="3"/>
  <c r="F183" i="3"/>
  <c r="E183" i="3"/>
  <c r="C183" i="3"/>
  <c r="A183" i="3"/>
  <c r="M173" i="3"/>
  <c r="L173" i="3"/>
  <c r="K173" i="3"/>
  <c r="I173" i="3"/>
  <c r="F173" i="3"/>
  <c r="E173" i="3"/>
  <c r="C173" i="3"/>
  <c r="A173" i="3"/>
  <c r="M163" i="3"/>
  <c r="L163" i="3"/>
  <c r="K163" i="3"/>
  <c r="I163" i="3"/>
  <c r="E163" i="3"/>
  <c r="C163" i="3"/>
  <c r="A163" i="3"/>
  <c r="M153" i="3"/>
  <c r="L153" i="3"/>
  <c r="K153" i="3"/>
  <c r="I153" i="3"/>
  <c r="F153" i="3"/>
  <c r="E153" i="3"/>
  <c r="C153" i="3"/>
  <c r="A153" i="3"/>
  <c r="M143" i="3"/>
  <c r="L143" i="3"/>
  <c r="K143" i="3"/>
  <c r="I143" i="3"/>
  <c r="F143" i="3"/>
  <c r="E143" i="3"/>
  <c r="C143" i="3"/>
  <c r="A143" i="3"/>
  <c r="M133" i="3"/>
  <c r="L133" i="3"/>
  <c r="K133" i="3"/>
  <c r="I133" i="3"/>
  <c r="F133" i="3"/>
  <c r="E133" i="3"/>
  <c r="C133" i="3"/>
  <c r="A133" i="3"/>
  <c r="M123" i="3"/>
  <c r="L123" i="3"/>
  <c r="K123" i="3"/>
  <c r="I123" i="3"/>
  <c r="E123" i="3"/>
  <c r="C123" i="3"/>
  <c r="A123" i="3"/>
  <c r="M113" i="3"/>
  <c r="L113" i="3"/>
  <c r="K113" i="3"/>
  <c r="I113" i="3"/>
  <c r="F113" i="3"/>
  <c r="E113" i="3"/>
  <c r="C113" i="3"/>
  <c r="A113" i="3"/>
  <c r="M103" i="3"/>
  <c r="L103" i="3"/>
  <c r="K103" i="3"/>
  <c r="I103" i="3"/>
  <c r="F103" i="3"/>
  <c r="E103" i="3"/>
  <c r="C103" i="3"/>
  <c r="A103" i="3"/>
  <c r="M93" i="3"/>
  <c r="L93" i="3"/>
  <c r="K93" i="3"/>
  <c r="I93" i="3"/>
  <c r="F93" i="3"/>
  <c r="E93" i="3"/>
  <c r="C93" i="3"/>
  <c r="A93" i="3"/>
  <c r="M83" i="3"/>
  <c r="L83" i="3"/>
  <c r="K83" i="3"/>
  <c r="I83" i="3"/>
  <c r="E83" i="3"/>
  <c r="C83" i="3"/>
  <c r="A83" i="3"/>
  <c r="M73" i="3"/>
  <c r="L73" i="3"/>
  <c r="K73" i="3"/>
  <c r="I73" i="3"/>
  <c r="F73" i="3"/>
  <c r="E73" i="3"/>
  <c r="C73" i="3"/>
  <c r="A73" i="3"/>
  <c r="M63" i="3"/>
  <c r="L63" i="3"/>
  <c r="K63" i="3"/>
  <c r="I63" i="3"/>
  <c r="F63" i="3"/>
  <c r="E63" i="3"/>
  <c r="C63" i="3"/>
  <c r="A63" i="3"/>
  <c r="M53" i="3"/>
  <c r="L53" i="3"/>
  <c r="K53" i="3"/>
  <c r="I53" i="3"/>
  <c r="F53" i="3"/>
  <c r="E53" i="3"/>
  <c r="C53" i="3"/>
  <c r="A53" i="3"/>
  <c r="L43" i="3"/>
  <c r="K43" i="3"/>
  <c r="I43" i="3"/>
  <c r="E43" i="3"/>
  <c r="C43" i="3"/>
  <c r="A43" i="3"/>
  <c r="S34" i="3"/>
  <c r="S64" i="3" s="1"/>
  <c r="S94" i="3" s="1"/>
  <c r="S124" i="3" s="1"/>
  <c r="S154" i="3" s="1"/>
  <c r="S184" i="3" s="1"/>
  <c r="U33" i="3"/>
  <c r="Z33" i="3" s="1"/>
  <c r="M33" i="3"/>
  <c r="L33" i="3"/>
  <c r="K33" i="3"/>
  <c r="I33" i="3"/>
  <c r="F33" i="3"/>
  <c r="E33" i="3"/>
  <c r="C33" i="3"/>
  <c r="A33" i="3"/>
  <c r="Y23" i="3"/>
  <c r="X23" i="3"/>
  <c r="V23" i="3"/>
  <c r="U23" i="3"/>
  <c r="Z23" i="3" s="1"/>
  <c r="M23" i="3"/>
  <c r="L23" i="3"/>
  <c r="K23" i="3"/>
  <c r="I23" i="3"/>
  <c r="F23" i="3"/>
  <c r="E23" i="3"/>
  <c r="C23" i="3"/>
  <c r="A23" i="3"/>
  <c r="Z13" i="3"/>
  <c r="Y13" i="3"/>
  <c r="X13" i="3"/>
  <c r="V13" i="3"/>
  <c r="M13" i="3"/>
  <c r="K13" i="3"/>
  <c r="F13" i="3"/>
  <c r="C13" i="3"/>
  <c r="U4" i="3"/>
  <c r="W4" i="3" s="1"/>
  <c r="Y11" i="2"/>
  <c r="AG10" i="2"/>
  <c r="Y10" i="2"/>
  <c r="V10" i="2"/>
  <c r="X10" i="2" s="1"/>
  <c r="Y9" i="2"/>
  <c r="AG8" i="2"/>
  <c r="Y8" i="2"/>
  <c r="V8" i="2"/>
  <c r="X8" i="2" s="1"/>
  <c r="Y7" i="2"/>
  <c r="AG6" i="2"/>
  <c r="Y6" i="2"/>
  <c r="V6" i="2"/>
  <c r="A6" i="2"/>
  <c r="A8" i="2" s="1"/>
  <c r="A10" i="2" s="1"/>
  <c r="A12" i="2" s="1"/>
  <c r="A14" i="2" s="1"/>
  <c r="A16" i="2" s="1"/>
  <c r="A18" i="2" s="1"/>
  <c r="A20" i="2" s="1"/>
  <c r="A22" i="2" s="1"/>
  <c r="A24" i="2" s="1"/>
  <c r="A26" i="2" s="1"/>
  <c r="A28" i="2" s="1"/>
  <c r="A30" i="2" s="1"/>
  <c r="A32" i="2" s="1"/>
  <c r="A34" i="2" s="1"/>
  <c r="A36" i="2" s="1"/>
  <c r="A38" i="2" s="1"/>
  <c r="A40" i="2" s="1"/>
  <c r="A42" i="2" s="1"/>
  <c r="A44" i="2" s="1"/>
  <c r="AD44" i="2" l="1"/>
  <c r="AE44" i="2" s="1"/>
  <c r="AC42" i="2"/>
  <c r="AB42" i="2"/>
  <c r="AC40" i="2"/>
  <c r="AB40" i="2"/>
  <c r="AB41" i="2"/>
  <c r="AC41" i="2" s="1"/>
  <c r="AB39" i="2"/>
  <c r="AC36" i="2"/>
  <c r="AB36" i="2"/>
  <c r="AB37" i="2"/>
  <c r="AD34" i="2"/>
  <c r="AE34" i="2" s="1"/>
  <c r="AD32" i="2"/>
  <c r="AE32" i="2" s="1"/>
  <c r="AD30" i="2"/>
  <c r="AE30" i="2" s="1"/>
  <c r="AB28" i="2"/>
  <c r="AC28" i="2"/>
  <c r="AD22" i="2"/>
  <c r="AE22" i="2" s="1"/>
  <c r="AB21" i="2"/>
  <c r="AC21" i="2" s="1"/>
  <c r="AD18" i="2"/>
  <c r="AE18" i="2" s="1"/>
  <c r="T64" i="3" s="1"/>
  <c r="AC16" i="2"/>
  <c r="AB16" i="2"/>
  <c r="AC14" i="2"/>
  <c r="AB14" i="2"/>
  <c r="AC12" i="2"/>
  <c r="AB12" i="2"/>
  <c r="V46" i="2"/>
  <c r="AB10" i="2"/>
  <c r="AC10" i="2"/>
  <c r="AB11" i="2"/>
  <c r="AC11" i="2" s="1"/>
  <c r="Z10" i="2"/>
  <c r="AA10" i="2" s="1"/>
  <c r="AA11" i="2" s="1"/>
  <c r="Z8" i="2"/>
  <c r="AA8" i="2" s="1"/>
  <c r="AA9" i="2" s="1"/>
  <c r="AB9" i="2"/>
  <c r="AC9" i="2" s="1"/>
  <c r="AC8" i="2"/>
  <c r="AB8" i="2"/>
  <c r="Z6" i="2"/>
  <c r="AA6" i="2" s="1"/>
  <c r="X6" i="2"/>
  <c r="AB6" i="2" s="1"/>
  <c r="V33" i="3"/>
  <c r="X33" i="3"/>
  <c r="U43" i="3"/>
  <c r="Y33" i="3"/>
  <c r="AD42" i="2" l="1"/>
  <c r="AE42" i="2" s="1"/>
  <c r="AD40" i="2"/>
  <c r="AE40" i="2" s="1"/>
  <c r="AC39" i="2"/>
  <c r="AD38" i="2" s="1"/>
  <c r="AE38" i="2" s="1"/>
  <c r="AC37" i="2"/>
  <c r="AD36" i="2" s="1"/>
  <c r="AE36" i="2" s="1"/>
  <c r="T154" i="3" s="1"/>
  <c r="AD28" i="2"/>
  <c r="AE28" i="2" s="1"/>
  <c r="AD20" i="2"/>
  <c r="AE20" i="2" s="1"/>
  <c r="AD16" i="2"/>
  <c r="AE16" i="2" s="1"/>
  <c r="AD14" i="2"/>
  <c r="AE14" i="2" s="1"/>
  <c r="AD12" i="2"/>
  <c r="AE12" i="2" s="1"/>
  <c r="T34" i="3" s="1"/>
  <c r="T53" i="3" s="1"/>
  <c r="AA46" i="2"/>
  <c r="AB7" i="2"/>
  <c r="AC7" i="2" s="1"/>
  <c r="AD10" i="2"/>
  <c r="AE10" i="2" s="1"/>
  <c r="AB46" i="2"/>
  <c r="AD8" i="2"/>
  <c r="AE8" i="2" s="1"/>
  <c r="T65" i="3"/>
  <c r="T66" i="3" s="1"/>
  <c r="T67" i="3" s="1"/>
  <c r="T68" i="3" s="1"/>
  <c r="T69" i="3" s="1"/>
  <c r="T70" i="3" s="1"/>
  <c r="T71" i="3" s="1"/>
  <c r="T72" i="3" s="1"/>
  <c r="T74" i="3"/>
  <c r="T75" i="3" s="1"/>
  <c r="T76" i="3" s="1"/>
  <c r="T77" i="3" s="1"/>
  <c r="T78" i="3" s="1"/>
  <c r="T79" i="3" s="1"/>
  <c r="T80" i="3" s="1"/>
  <c r="T81" i="3" s="1"/>
  <c r="T82" i="3" s="1"/>
  <c r="T84" i="3"/>
  <c r="T85" i="3" s="1"/>
  <c r="T86" i="3" s="1"/>
  <c r="T87" i="3" s="1"/>
  <c r="T88" i="3" s="1"/>
  <c r="T89" i="3" s="1"/>
  <c r="T90" i="3" s="1"/>
  <c r="T91" i="3" s="1"/>
  <c r="T92" i="3" s="1"/>
  <c r="T93" i="3" s="1"/>
  <c r="T73" i="3"/>
  <c r="T83" i="3"/>
  <c r="T124" i="3"/>
  <c r="AC6" i="2"/>
  <c r="AA47" i="2"/>
  <c r="T94" i="3"/>
  <c r="U34" i="3"/>
  <c r="W34" i="3" s="1"/>
  <c r="Z43" i="3"/>
  <c r="Y43" i="3"/>
  <c r="X43" i="3"/>
  <c r="V43" i="3"/>
  <c r="U53" i="3"/>
  <c r="T43" i="3" l="1"/>
  <c r="T184" i="3"/>
  <c r="T193" i="3" s="1"/>
  <c r="T194" i="3"/>
  <c r="T195" i="3" s="1"/>
  <c r="T196" i="3" s="1"/>
  <c r="T197" i="3" s="1"/>
  <c r="T198" i="3" s="1"/>
  <c r="T199" i="3" s="1"/>
  <c r="T200" i="3" s="1"/>
  <c r="T201" i="3" s="1"/>
  <c r="T202" i="3" s="1"/>
  <c r="T185" i="3"/>
  <c r="T186" i="3" s="1"/>
  <c r="T187" i="3" s="1"/>
  <c r="T188" i="3" s="1"/>
  <c r="T189" i="3" s="1"/>
  <c r="T190" i="3" s="1"/>
  <c r="T191" i="3" s="1"/>
  <c r="T192" i="3" s="1"/>
  <c r="T163" i="3"/>
  <c r="T173" i="3"/>
  <c r="T164" i="3"/>
  <c r="T165" i="3" s="1"/>
  <c r="T166" i="3" s="1"/>
  <c r="T167" i="3" s="1"/>
  <c r="T168" i="3" s="1"/>
  <c r="T169" i="3" s="1"/>
  <c r="T170" i="3" s="1"/>
  <c r="T171" i="3" s="1"/>
  <c r="T172" i="3" s="1"/>
  <c r="T174" i="3"/>
  <c r="T175" i="3" s="1"/>
  <c r="T176" i="3" s="1"/>
  <c r="T177" i="3" s="1"/>
  <c r="T178" i="3" s="1"/>
  <c r="T179" i="3" s="1"/>
  <c r="T180" i="3" s="1"/>
  <c r="T181" i="3" s="1"/>
  <c r="T182" i="3" s="1"/>
  <c r="T183" i="3" s="1"/>
  <c r="T155" i="3"/>
  <c r="T156" i="3" s="1"/>
  <c r="T157" i="3" s="1"/>
  <c r="T158" i="3" s="1"/>
  <c r="T159" i="3" s="1"/>
  <c r="T160" i="3" s="1"/>
  <c r="T161" i="3" s="1"/>
  <c r="T162" i="3" s="1"/>
  <c r="AC47" i="2"/>
  <c r="T54" i="3"/>
  <c r="T55" i="3" s="1"/>
  <c r="T56" i="3" s="1"/>
  <c r="T57" i="3" s="1"/>
  <c r="T58" i="3" s="1"/>
  <c r="T59" i="3" s="1"/>
  <c r="T60" i="3" s="1"/>
  <c r="T61" i="3" s="1"/>
  <c r="T62" i="3" s="1"/>
  <c r="T63" i="3" s="1"/>
  <c r="T44" i="3"/>
  <c r="T45" i="3" s="1"/>
  <c r="T46" i="3" s="1"/>
  <c r="T47" i="3" s="1"/>
  <c r="T48" i="3" s="1"/>
  <c r="T49" i="3" s="1"/>
  <c r="T50" i="3" s="1"/>
  <c r="T51" i="3" s="1"/>
  <c r="T52" i="3" s="1"/>
  <c r="T35" i="3"/>
  <c r="T36" i="3" s="1"/>
  <c r="T37" i="3" s="1"/>
  <c r="T38" i="3" s="1"/>
  <c r="T39" i="3" s="1"/>
  <c r="T40" i="3" s="1"/>
  <c r="T41" i="3" s="1"/>
  <c r="T42" i="3" s="1"/>
  <c r="AB47" i="2"/>
  <c r="T133" i="3"/>
  <c r="T144" i="3"/>
  <c r="T145" i="3" s="1"/>
  <c r="T146" i="3" s="1"/>
  <c r="T147" i="3" s="1"/>
  <c r="T148" i="3" s="1"/>
  <c r="T149" i="3" s="1"/>
  <c r="T150" i="3" s="1"/>
  <c r="T151" i="3" s="1"/>
  <c r="T152" i="3" s="1"/>
  <c r="T153" i="3" s="1"/>
  <c r="T143" i="3"/>
  <c r="T134" i="3"/>
  <c r="T135" i="3" s="1"/>
  <c r="T136" i="3" s="1"/>
  <c r="T137" i="3" s="1"/>
  <c r="T138" i="3" s="1"/>
  <c r="T139" i="3" s="1"/>
  <c r="T140" i="3" s="1"/>
  <c r="T141" i="3" s="1"/>
  <c r="T142" i="3" s="1"/>
  <c r="T125" i="3"/>
  <c r="T126" i="3" s="1"/>
  <c r="T127" i="3" s="1"/>
  <c r="T128" i="3" s="1"/>
  <c r="T129" i="3" s="1"/>
  <c r="T130" i="3" s="1"/>
  <c r="T131" i="3" s="1"/>
  <c r="T132" i="3" s="1"/>
  <c r="Z53" i="3"/>
  <c r="Y53" i="3"/>
  <c r="X53" i="3"/>
  <c r="V53" i="3"/>
  <c r="U63" i="3"/>
  <c r="AC46" i="2"/>
  <c r="AD6" i="2"/>
  <c r="AE6" i="2" s="1"/>
  <c r="AE46" i="2" s="1"/>
  <c r="T103" i="3"/>
  <c r="T113" i="3"/>
  <c r="T104" i="3"/>
  <c r="T105" i="3" s="1"/>
  <c r="T106" i="3" s="1"/>
  <c r="T107" i="3" s="1"/>
  <c r="T108" i="3" s="1"/>
  <c r="T109" i="3" s="1"/>
  <c r="T110" i="3" s="1"/>
  <c r="T111" i="3" s="1"/>
  <c r="T112" i="3" s="1"/>
  <c r="T95" i="3"/>
  <c r="T96" i="3" s="1"/>
  <c r="T97" i="3" s="1"/>
  <c r="T98" i="3" s="1"/>
  <c r="T99" i="3" s="1"/>
  <c r="T100" i="3" s="1"/>
  <c r="T101" i="3" s="1"/>
  <c r="T102" i="3" s="1"/>
  <c r="T114" i="3"/>
  <c r="T115" i="3" s="1"/>
  <c r="T116" i="3" s="1"/>
  <c r="T117" i="3" s="1"/>
  <c r="T118" i="3" s="1"/>
  <c r="T119" i="3" s="1"/>
  <c r="T120" i="3" s="1"/>
  <c r="T121" i="3" s="1"/>
  <c r="T122" i="3" s="1"/>
  <c r="T123" i="3" s="1"/>
  <c r="T203" i="3" l="1"/>
  <c r="AD46" i="2"/>
  <c r="AI46" i="2"/>
  <c r="AI47" i="2" s="1"/>
  <c r="AI6" i="2"/>
  <c r="AI7" i="2" s="1"/>
  <c r="AI8" i="2" s="1"/>
  <c r="AI9" i="2" s="1"/>
  <c r="AI10" i="2" s="1"/>
  <c r="AI11" i="2" s="1"/>
  <c r="AI12" i="2" s="1"/>
  <c r="AI13" i="2" s="1"/>
  <c r="AI14" i="2" s="1"/>
  <c r="AI15" i="2" s="1"/>
  <c r="AI16" i="2" s="1"/>
  <c r="AI17" i="2" s="1"/>
  <c r="AI18" i="2" s="1"/>
  <c r="AI19" i="2" s="1"/>
  <c r="AI20" i="2" s="1"/>
  <c r="AI21" i="2" s="1"/>
  <c r="AI22" i="2" s="1"/>
  <c r="AI23" i="2" s="1"/>
  <c r="AI24" i="2" s="1"/>
  <c r="AI25" i="2" s="1"/>
  <c r="AI26" i="2" s="1"/>
  <c r="AI27" i="2" s="1"/>
  <c r="AI28" i="2" s="1"/>
  <c r="AI29" i="2" s="1"/>
  <c r="AI30" i="2" s="1"/>
  <c r="AI31" i="2" s="1"/>
  <c r="AI32" i="2" s="1"/>
  <c r="AI33" i="2" s="1"/>
  <c r="AI34" i="2" s="1"/>
  <c r="AI35" i="2" s="1"/>
  <c r="AI36" i="2" s="1"/>
  <c r="AI37" i="2" s="1"/>
  <c r="AI38" i="2" s="1"/>
  <c r="AI39" i="2" s="1"/>
  <c r="AI40" i="2" s="1"/>
  <c r="AI41" i="2" s="1"/>
  <c r="AI42" i="2" s="1"/>
  <c r="AI43" i="2" s="1"/>
  <c r="AI44" i="2" s="1"/>
  <c r="AI45" i="2" s="1"/>
  <c r="T4" i="3"/>
  <c r="Z63" i="3"/>
  <c r="Y63" i="3"/>
  <c r="U73" i="3"/>
  <c r="X63" i="3"/>
  <c r="V63" i="3"/>
  <c r="U64" i="3" l="1"/>
  <c r="W64" i="3" s="1"/>
  <c r="Z73" i="3"/>
  <c r="Y73" i="3"/>
  <c r="X73" i="3"/>
  <c r="V73" i="3"/>
  <c r="U83" i="3"/>
  <c r="T14" i="3"/>
  <c r="T15" i="3" s="1"/>
  <c r="T16" i="3" s="1"/>
  <c r="T17" i="3" s="1"/>
  <c r="T18" i="3" s="1"/>
  <c r="T19" i="3" s="1"/>
  <c r="T20" i="3" s="1"/>
  <c r="T21" i="3" s="1"/>
  <c r="T22" i="3" s="1"/>
  <c r="T24" i="3"/>
  <c r="T25" i="3" s="1"/>
  <c r="T26" i="3" s="1"/>
  <c r="T27" i="3" s="1"/>
  <c r="T28" i="3" s="1"/>
  <c r="T29" i="3" s="1"/>
  <c r="T30" i="3" s="1"/>
  <c r="T31" i="3" s="1"/>
  <c r="T32" i="3" s="1"/>
  <c r="T33" i="3" s="1"/>
  <c r="T13" i="3"/>
  <c r="T5" i="3"/>
  <c r="T6" i="3" s="1"/>
  <c r="T7" i="3" s="1"/>
  <c r="T8" i="3" s="1"/>
  <c r="T9" i="3" s="1"/>
  <c r="T10" i="3" s="1"/>
  <c r="T11" i="3" s="1"/>
  <c r="T12" i="3" s="1"/>
  <c r="T23" i="3"/>
  <c r="AH46" i="2"/>
  <c r="U93" i="3" l="1"/>
  <c r="Z83" i="3"/>
  <c r="Y83" i="3"/>
  <c r="X83" i="3"/>
  <c r="V83" i="3"/>
  <c r="Y93" i="3" l="1"/>
  <c r="U103" i="3"/>
  <c r="X93" i="3"/>
  <c r="V93" i="3"/>
  <c r="Z93" i="3"/>
  <c r="V103" i="3" l="1"/>
  <c r="U113" i="3"/>
  <c r="Z103" i="3"/>
  <c r="Y103" i="3"/>
  <c r="X103" i="3"/>
  <c r="U94" i="3"/>
  <c r="W94" i="3" s="1"/>
  <c r="X113" i="3" l="1"/>
  <c r="V113" i="3"/>
  <c r="U123" i="3"/>
  <c r="Z113" i="3"/>
  <c r="Y113" i="3"/>
  <c r="Y123" i="3" l="1"/>
  <c r="U133" i="3"/>
  <c r="X123" i="3"/>
  <c r="V123" i="3"/>
  <c r="Z123" i="3"/>
  <c r="V133" i="3" l="1"/>
  <c r="U143" i="3"/>
  <c r="U124" i="3"/>
  <c r="W124" i="3" s="1"/>
  <c r="Z133" i="3"/>
  <c r="Y133" i="3"/>
  <c r="X133" i="3"/>
  <c r="X143" i="3" l="1"/>
  <c r="V143" i="3"/>
  <c r="Z143" i="3"/>
  <c r="Y143" i="3"/>
  <c r="U153" i="3"/>
  <c r="Z153" i="3" l="1"/>
  <c r="Y153" i="3"/>
  <c r="U163" i="3"/>
  <c r="X153" i="3"/>
  <c r="V153" i="3"/>
  <c r="X163" i="3" l="1"/>
  <c r="V163" i="3"/>
  <c r="U173" i="3"/>
  <c r="Z163" i="3"/>
  <c r="Y163" i="3"/>
  <c r="U154" i="3"/>
  <c r="W154" i="3" s="1"/>
  <c r="Y173" i="3" l="1"/>
  <c r="X173" i="3"/>
  <c r="V173" i="3"/>
  <c r="Z173" i="3"/>
  <c r="U183" i="3"/>
  <c r="Z183" i="3" l="1"/>
  <c r="Y183" i="3"/>
  <c r="U193" i="3"/>
  <c r="X183" i="3"/>
  <c r="V183" i="3"/>
  <c r="Z193" i="3" l="1"/>
  <c r="Y193" i="3"/>
  <c r="X193" i="3"/>
  <c r="V193" i="3"/>
  <c r="U203" i="3"/>
  <c r="U184" i="3"/>
  <c r="W184" i="3" s="1"/>
  <c r="Z203" i="3" l="1"/>
  <c r="Y203" i="3"/>
  <c r="X203" i="3"/>
  <c r="V203" i="3"/>
</calcChain>
</file>

<file path=xl/sharedStrings.xml><?xml version="1.0" encoding="utf-8"?>
<sst xmlns="http://schemas.openxmlformats.org/spreadsheetml/2006/main" count="115" uniqueCount="74">
  <si>
    <t>상호</t>
    <phoneticPr fontId="5" type="noConversion"/>
  </si>
  <si>
    <t xml:space="preserve"> (25년06월) 일용노무비 지급명세서 </t>
    <phoneticPr fontId="4" type="noConversion"/>
  </si>
  <si>
    <t>기간</t>
    <phoneticPr fontId="5" type="noConversion"/>
  </si>
  <si>
    <t>공 사 명</t>
    <phoneticPr fontId="8" type="noConversion"/>
  </si>
  <si>
    <t>번호</t>
  </si>
  <si>
    <t>성  명</t>
    <phoneticPr fontId="13" type="noConversion"/>
  </si>
  <si>
    <t>주민등   록번호</t>
    <phoneticPr fontId="8" type="noConversion"/>
  </si>
  <si>
    <t>주      소</t>
  </si>
  <si>
    <t>출     역     상     황</t>
  </si>
  <si>
    <t>총출력수</t>
    <phoneticPr fontId="8" type="noConversion"/>
  </si>
  <si>
    <t>노무비   단  가</t>
    <phoneticPr fontId="8" type="noConversion"/>
  </si>
  <si>
    <t>노  무  비   총      액</t>
    <phoneticPr fontId="8" type="noConversion"/>
  </si>
  <si>
    <t>과세표준</t>
    <phoneticPr fontId="15" type="noConversion"/>
  </si>
  <si>
    <t>세    액</t>
    <phoneticPr fontId="8" type="noConversion"/>
  </si>
  <si>
    <t>차    감    지 급 액</t>
    <phoneticPr fontId="8" type="noConversion"/>
  </si>
  <si>
    <t>영수인</t>
    <phoneticPr fontId="15" type="noConversion"/>
  </si>
  <si>
    <t>나이
(주민번호입력시 
자동산출)</t>
    <phoneticPr fontId="15" type="noConversion"/>
  </si>
  <si>
    <t>갑근세</t>
    <phoneticPr fontId="8" type="noConversion"/>
  </si>
  <si>
    <t>국민연금</t>
    <phoneticPr fontId="8" type="noConversion"/>
  </si>
  <si>
    <t>고용보험</t>
    <phoneticPr fontId="8" type="noConversion"/>
  </si>
  <si>
    <t>계</t>
    <phoneticPr fontId="8" type="noConversion"/>
  </si>
  <si>
    <t>주민세</t>
    <phoneticPr fontId="8" type="noConversion"/>
  </si>
  <si>
    <t>건강보험</t>
    <phoneticPr fontId="8" type="noConversion"/>
  </si>
  <si>
    <t>장기보험</t>
    <phoneticPr fontId="8" type="noConversion"/>
  </si>
  <si>
    <t>연락처</t>
    <phoneticPr fontId="4" type="noConversion"/>
  </si>
  <si>
    <t>거래은행</t>
    <phoneticPr fontId="4" type="noConversion"/>
  </si>
  <si>
    <t>계좌번호</t>
    <phoneticPr fontId="4" type="noConversion"/>
  </si>
  <si>
    <t>소 계</t>
    <phoneticPr fontId="8" type="noConversion"/>
  </si>
  <si>
    <t xml:space="preserve"> </t>
    <phoneticPr fontId="15" type="noConversion"/>
  </si>
  <si>
    <t>근로자 신분증 및 통장 사본</t>
    <phoneticPr fontId="23" type="noConversion"/>
  </si>
  <si>
    <t>성명</t>
    <phoneticPr fontId="4" type="noConversion"/>
  </si>
  <si>
    <t>금액</t>
    <phoneticPr fontId="4" type="noConversion"/>
  </si>
  <si>
    <t>은행</t>
    <phoneticPr fontId="4" type="noConversion"/>
  </si>
  <si>
    <t>B</t>
    <phoneticPr fontId="4" type="noConversion"/>
  </si>
  <si>
    <t>AE</t>
    <phoneticPr fontId="4" type="noConversion"/>
  </si>
  <si>
    <t>AJ</t>
    <phoneticPr fontId="4" type="noConversion"/>
  </si>
  <si>
    <t>AK</t>
    <phoneticPr fontId="4" type="noConversion"/>
  </si>
  <si>
    <t>AL</t>
    <phoneticPr fontId="4" type="noConversion"/>
  </si>
  <si>
    <t>신분증</t>
    <phoneticPr fontId="23" type="noConversion"/>
  </si>
  <si>
    <t>통장사본</t>
    <phoneticPr fontId="23" type="noConversion"/>
  </si>
  <si>
    <t>성    명</t>
    <phoneticPr fontId="23" type="noConversion"/>
  </si>
  <si>
    <t>연락처</t>
    <phoneticPr fontId="36" type="noConversion"/>
  </si>
  <si>
    <t>은행</t>
  </si>
  <si>
    <t>계좌번호</t>
    <phoneticPr fontId="23" type="noConversion"/>
  </si>
  <si>
    <t>☜ 신분증 및 통장사본 사진 필수 입력</t>
    <phoneticPr fontId="4" type="noConversion"/>
  </si>
  <si>
    <t>☜ 지급명세서 우측에 관련 정보 입력하면 여기서는 건드리지 않아도 됨.</t>
    <phoneticPr fontId="4" type="noConversion"/>
  </si>
  <si>
    <t>동영종합건설㈜</t>
    <phoneticPr fontId="4" type="noConversion"/>
  </si>
  <si>
    <t>공사명 : 24-25년 노후공임 리모델링공사 8권역(경남)_직영(일반철거)</t>
  </si>
  <si>
    <t>24-25년 노후공임 리모델링공사 8권역(경남)</t>
    <phoneticPr fontId="4" type="noConversion"/>
  </si>
  <si>
    <t>김경숙</t>
    <phoneticPr fontId="23" type="noConversion"/>
  </si>
  <si>
    <t>부산시 동래구 충렬대로410번길 56-7</t>
    <phoneticPr fontId="4" type="noConversion"/>
  </si>
  <si>
    <t>새마을금고</t>
    <phoneticPr fontId="4" type="noConversion"/>
  </si>
  <si>
    <t>9002-1703-0114-6</t>
    <phoneticPr fontId="4" type="noConversion"/>
  </si>
  <si>
    <t>김숙자</t>
    <phoneticPr fontId="23" type="noConversion"/>
  </si>
  <si>
    <t>김진영</t>
    <phoneticPr fontId="23" type="noConversion"/>
  </si>
  <si>
    <t>김홍석</t>
    <phoneticPr fontId="23" type="noConversion"/>
  </si>
  <si>
    <t>김희석</t>
    <phoneticPr fontId="23" type="noConversion"/>
  </si>
  <si>
    <t>박덕호</t>
    <phoneticPr fontId="23" type="noConversion"/>
  </si>
  <si>
    <t>박상흠</t>
    <phoneticPr fontId="23" type="noConversion"/>
  </si>
  <si>
    <t>박영준</t>
    <phoneticPr fontId="23" type="noConversion"/>
  </si>
  <si>
    <t>박창준</t>
    <phoneticPr fontId="23" type="noConversion"/>
  </si>
  <si>
    <t>박창현</t>
    <phoneticPr fontId="23" type="noConversion"/>
  </si>
  <si>
    <t>서종태</t>
    <phoneticPr fontId="23" type="noConversion"/>
  </si>
  <si>
    <t>010-2040-6604</t>
    <phoneticPr fontId="4" type="noConversion"/>
  </si>
  <si>
    <t>이경란</t>
    <phoneticPr fontId="23" type="noConversion"/>
  </si>
  <si>
    <t>010-4022-4701</t>
    <phoneticPr fontId="4" type="noConversion"/>
  </si>
  <si>
    <t>김길홍</t>
    <phoneticPr fontId="23" type="noConversion"/>
  </si>
  <si>
    <t>김재일</t>
    <phoneticPr fontId="23" type="noConversion"/>
  </si>
  <si>
    <t>박세찬</t>
    <phoneticPr fontId="23" type="noConversion"/>
  </si>
  <si>
    <t>박현광</t>
    <phoneticPr fontId="23" type="noConversion"/>
  </si>
  <si>
    <t>백충현</t>
    <phoneticPr fontId="23" type="noConversion"/>
  </si>
  <si>
    <t>이금수</t>
    <phoneticPr fontId="23" type="noConversion"/>
  </si>
  <si>
    <t>이영부</t>
    <phoneticPr fontId="23" type="noConversion"/>
  </si>
  <si>
    <t>이종진</t>
    <phoneticPr fontId="2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</si>
</sst>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1" formatCode="_-* #,##0_-;\-* #,##0_-;_-* &quot;-&quot;_-;_-@_-"/>
    <numFmt numFmtId="176" formatCode="yyyy&quot;년&quot;\ m&quot;월&quot;\ d&quot;일&quot;;@"/>
    <numFmt numFmtId="177" formatCode="_(* #,##0_);_(* \(#,##0\);_(* &quot;-&quot;_);_(@_)"/>
    <numFmt numFmtId="178" formatCode="_-* #,##0.0_-;\-* #,##0.0_-;_-* &quot;-&quot;_-;_-@_-"/>
    <numFmt numFmtId="179" formatCode="0.0"/>
    <numFmt numFmtId="180" formatCode="#,##0.00;[Red]&quot;-&quot;#,##0.00"/>
  </numFmts>
  <fonts count="38" x14ac:knownFonts="1">
    <font>
      <sz val="11"/>
      <color theme="1"/>
      <name val="맑은 고딕"/>
      <family val="2"/>
      <charset val="129"/>
      <scheme val="minor"/>
    </font>
    <font>
      <sz val="11"/>
      <color theme="1"/>
      <name val="맑은 고딕"/>
      <family val="2"/>
      <charset val="129"/>
      <scheme val="minor"/>
    </font>
    <font>
      <sz val="11"/>
      <name val="돋움"/>
      <family val="3"/>
      <charset val="129"/>
    </font>
    <font>
      <sz val="10"/>
      <name val="굴림체"/>
      <family val="3"/>
      <charset val="129"/>
    </font>
    <font>
      <sz val="8"/>
      <name val="맑은 고딕"/>
      <family val="2"/>
      <charset val="129"/>
      <scheme val="minor"/>
    </font>
    <font>
      <b/>
      <sz val="18"/>
      <name val="바탕체"/>
      <family val="1"/>
      <charset val="129"/>
    </font>
    <font>
      <b/>
      <sz val="14"/>
      <name val="굴림체"/>
      <family val="3"/>
      <charset val="129"/>
    </font>
    <font>
      <b/>
      <u val="double"/>
      <sz val="14"/>
      <name val="굴림체"/>
      <family val="3"/>
      <charset val="129"/>
    </font>
    <font>
      <b/>
      <u/>
      <sz val="18"/>
      <name val="바탕체"/>
      <family val="1"/>
      <charset val="129"/>
    </font>
    <font>
      <sz val="11"/>
      <color theme="1"/>
      <name val="맑은 고딕"/>
      <family val="3"/>
      <charset val="129"/>
      <scheme val="minor"/>
    </font>
    <font>
      <b/>
      <sz val="11"/>
      <color rgb="FF0000FF"/>
      <name val="맑은 고딕"/>
      <family val="3"/>
      <charset val="129"/>
      <scheme val="minor"/>
    </font>
    <font>
      <sz val="11"/>
      <color rgb="FF0000FF"/>
      <name val="맑은 고딕"/>
      <family val="3"/>
      <charset val="129"/>
      <scheme val="minor"/>
    </font>
    <font>
      <sz val="10"/>
      <name val="바탕체"/>
      <family val="1"/>
      <charset val="129"/>
    </font>
    <font>
      <sz val="8"/>
      <name val="바탕"/>
      <family val="1"/>
      <charset val="129"/>
    </font>
    <font>
      <sz val="12"/>
      <name val="굴림체"/>
      <family val="3"/>
      <charset val="129"/>
    </font>
    <font>
      <sz val="8"/>
      <name val="돋움"/>
      <family val="3"/>
      <charset val="129"/>
    </font>
    <font>
      <sz val="9"/>
      <name val="굴림체"/>
      <family val="3"/>
      <charset val="129"/>
    </font>
    <font>
      <sz val="9"/>
      <name val="돋움"/>
      <family val="3"/>
      <charset val="129"/>
    </font>
    <font>
      <sz val="8"/>
      <color rgb="FFFF0000"/>
      <name val="굴림체"/>
      <family val="3"/>
      <charset val="129"/>
    </font>
    <font>
      <sz val="8"/>
      <color theme="1"/>
      <name val="굴림체"/>
      <family val="3"/>
      <charset val="129"/>
    </font>
    <font>
      <sz val="8"/>
      <color rgb="FFEE0000"/>
      <name val="굴림체"/>
      <family val="3"/>
      <charset val="129"/>
    </font>
    <font>
      <sz val="8"/>
      <color rgb="FF0000FF"/>
      <name val="굴림체"/>
      <family val="3"/>
      <charset val="129"/>
    </font>
    <font>
      <sz val="8"/>
      <color indexed="8"/>
      <name val="굴림체"/>
      <family val="3"/>
      <charset val="129"/>
    </font>
    <font>
      <sz val="8"/>
      <name val="굴림체"/>
      <family val="3"/>
      <charset val="129"/>
    </font>
    <font>
      <sz val="6"/>
      <name val="굴림체"/>
      <family val="3"/>
      <charset val="129"/>
    </font>
    <font>
      <sz val="12"/>
      <name val="바탕체"/>
      <family val="1"/>
      <charset val="129"/>
    </font>
    <font>
      <sz val="11"/>
      <color indexed="8"/>
      <name val="맑은 고딕"/>
      <family val="3"/>
      <charset val="129"/>
    </font>
    <font>
      <sz val="9"/>
      <color theme="1"/>
      <name val="굴림체"/>
      <family val="3"/>
      <charset val="129"/>
    </font>
    <font>
      <sz val="9"/>
      <color indexed="8"/>
      <name val="새굴림"/>
      <family val="1"/>
      <charset val="129"/>
    </font>
    <font>
      <b/>
      <sz val="24"/>
      <color rgb="FF000000"/>
      <name val="새굴림"/>
      <family val="1"/>
      <charset val="129"/>
    </font>
    <font>
      <b/>
      <sz val="24"/>
      <color indexed="8"/>
      <name val="새굴림"/>
      <family val="1"/>
      <charset val="129"/>
    </font>
    <font>
      <sz val="14"/>
      <color rgb="FF000000"/>
      <name val="새굴림"/>
      <family val="1"/>
      <charset val="129"/>
    </font>
    <font>
      <b/>
      <sz val="22"/>
      <color indexed="8"/>
      <name val="새굴림"/>
      <family val="1"/>
      <charset val="129"/>
    </font>
    <font>
      <sz val="14"/>
      <color indexed="8"/>
      <name val="새굴림"/>
      <family val="1"/>
      <charset val="129"/>
    </font>
    <font>
      <sz val="14"/>
      <color indexed="10"/>
      <name val="새굴림"/>
      <family val="1"/>
      <charset val="129"/>
    </font>
    <font>
      <sz val="14"/>
      <color theme="1"/>
      <name val="새굴림"/>
      <family val="1"/>
      <charset val="129"/>
    </font>
    <font>
      <sz val="8"/>
      <name val="맑은 고딕"/>
      <family val="3"/>
      <charset val="129"/>
    </font>
    <font>
      <sz val="11"/>
      <color theme="1"/>
      <name val="새굴림"/>
      <family val="1"/>
      <charset val="129"/>
    </font>
  </fonts>
  <fills count="4">
    <fill>
      <patternFill patternType="none"/>
    </fill>
    <fill>
      <patternFill patternType="gray125"/>
    </fill>
    <fill>
      <patternFill patternType="solid">
        <fgColor rgb="FFFFCCFF"/>
        <bgColor indexed="64"/>
      </patternFill>
    </fill>
    <fill>
      <patternFill patternType="solid">
        <fgColor rgb="FFFFFF0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auto="1"/>
      </top>
      <bottom/>
      <diagonal/>
    </border>
    <border>
      <left/>
      <right style="thin">
        <color indexed="64"/>
      </right>
      <top/>
      <bottom/>
      <diagonal/>
    </border>
    <border>
      <left/>
      <right/>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9">
    <xf numFmtId="0" fontId="0" fillId="0" borderId="0">
      <alignment vertical="center"/>
    </xf>
    <xf numFmtId="41" fontId="1" fillId="0" borderId="0" applyFont="0" applyFill="0" applyBorder="0" applyAlignment="0" applyProtection="0">
      <alignment vertical="center"/>
    </xf>
    <xf numFmtId="0" fontId="2" fillId="0" borderId="0">
      <alignment vertical="center"/>
    </xf>
    <xf numFmtId="0" fontId="9" fillId="0" borderId="0">
      <alignment vertical="center"/>
    </xf>
    <xf numFmtId="0" fontId="2" fillId="0" borderId="0"/>
    <xf numFmtId="0" fontId="2" fillId="0" borderId="0">
      <alignment vertical="center"/>
    </xf>
    <xf numFmtId="41" fontId="2" fillId="0" borderId="0" applyFont="0" applyFill="0" applyBorder="0" applyAlignment="0" applyProtection="0">
      <alignment vertical="center"/>
    </xf>
    <xf numFmtId="179" fontId="25" fillId="0" borderId="0" applyFont="0" applyFill="0" applyBorder="0" applyAlignment="0" applyProtection="0"/>
    <xf numFmtId="180" fontId="25" fillId="0" borderId="0" applyFont="0" applyFill="0" applyBorder="0" applyAlignment="0" applyProtection="0"/>
  </cellStyleXfs>
  <cellXfs count="111">
    <xf numFmtId="0" fontId="0" fillId="0" borderId="0" xfId="0">
      <alignment vertical="center"/>
    </xf>
    <xf numFmtId="0" fontId="3" fillId="0" borderId="1" xfId="2" applyFont="1" applyBorder="1" applyAlignment="1">
      <alignment horizontal="center" vertical="center"/>
    </xf>
    <xf numFmtId="0" fontId="3" fillId="0" borderId="1" xfId="2" quotePrefix="1" applyFont="1" applyBorder="1" applyAlignment="1">
      <alignment horizontal="center" vertical="center" shrinkToFit="1"/>
    </xf>
    <xf numFmtId="0" fontId="2" fillId="0" borderId="1" xfId="2" applyBorder="1">
      <alignment vertical="center"/>
    </xf>
    <xf numFmtId="0" fontId="9" fillId="0" borderId="0" xfId="3">
      <alignment vertical="center"/>
    </xf>
    <xf numFmtId="41" fontId="9" fillId="0" borderId="0" xfId="1" applyFont="1">
      <alignment vertical="center"/>
    </xf>
    <xf numFmtId="0" fontId="3" fillId="0" borderId="1" xfId="2" applyFont="1" applyBorder="1" applyAlignment="1">
      <alignment horizontal="centerContinuous" vertical="center"/>
    </xf>
    <xf numFmtId="0" fontId="14" fillId="0" borderId="1" xfId="2" applyFont="1" applyBorder="1" applyAlignment="1">
      <alignment horizontal="centerContinuous" vertical="center"/>
    </xf>
    <xf numFmtId="0" fontId="18" fillId="0" borderId="1" xfId="2" applyFont="1" applyBorder="1" applyAlignment="1">
      <alignment horizontal="center" vertical="center"/>
    </xf>
    <xf numFmtId="0" fontId="19" fillId="0" borderId="1" xfId="2" applyFont="1" applyBorder="1" applyAlignment="1">
      <alignment horizontal="center" vertical="center"/>
    </xf>
    <xf numFmtId="0" fontId="20" fillId="0" borderId="1" xfId="2" applyFont="1" applyBorder="1" applyAlignment="1">
      <alignment horizontal="center" vertical="center"/>
    </xf>
    <xf numFmtId="0" fontId="21" fillId="0" borderId="1" xfId="2" applyFont="1" applyBorder="1" applyAlignment="1">
      <alignment horizontal="center" vertical="center"/>
    </xf>
    <xf numFmtId="0" fontId="19" fillId="0" borderId="6" xfId="2" applyFont="1" applyBorder="1" applyAlignment="1">
      <alignment horizontal="center" vertical="center"/>
    </xf>
    <xf numFmtId="0" fontId="22" fillId="0" borderId="1" xfId="2" applyFont="1" applyBorder="1" applyAlignment="1">
      <alignment horizontal="center" vertical="center"/>
    </xf>
    <xf numFmtId="177" fontId="24" fillId="0" borderId="1" xfId="5" applyNumberFormat="1" applyFont="1" applyBorder="1" applyAlignment="1">
      <alignment horizontal="center" vertical="center" shrinkToFit="1"/>
    </xf>
    <xf numFmtId="177" fontId="24" fillId="0" borderId="6" xfId="5" applyNumberFormat="1" applyFont="1" applyBorder="1" applyAlignment="1">
      <alignment horizontal="center" vertical="center" shrinkToFit="1"/>
    </xf>
    <xf numFmtId="41" fontId="16" fillId="0" borderId="1" xfId="6" applyFont="1" applyFill="1" applyBorder="1" applyAlignment="1">
      <alignment vertical="center" shrinkToFit="1"/>
    </xf>
    <xf numFmtId="41" fontId="16" fillId="0" borderId="1" xfId="7" applyNumberFormat="1" applyFont="1" applyFill="1" applyBorder="1" applyAlignment="1">
      <alignment vertical="center" shrinkToFit="1"/>
    </xf>
    <xf numFmtId="41" fontId="16" fillId="0" borderId="1" xfId="8" applyNumberFormat="1" applyFont="1" applyFill="1" applyBorder="1" applyAlignment="1">
      <alignment vertical="center" shrinkToFit="1"/>
    </xf>
    <xf numFmtId="0" fontId="11" fillId="0" borderId="0" xfId="3" applyFont="1">
      <alignment vertical="center"/>
    </xf>
    <xf numFmtId="0" fontId="27" fillId="0" borderId="0" xfId="3" applyFont="1">
      <alignment vertical="center"/>
    </xf>
    <xf numFmtId="41" fontId="9" fillId="0" borderId="0" xfId="3" applyNumberFormat="1">
      <alignment vertical="center"/>
    </xf>
    <xf numFmtId="41" fontId="25" fillId="0" borderId="1" xfId="7" applyNumberFormat="1" applyFont="1" applyFill="1" applyBorder="1" applyAlignment="1">
      <alignment shrinkToFit="1"/>
    </xf>
    <xf numFmtId="0" fontId="14" fillId="0" borderId="0" xfId="2" applyFont="1">
      <alignment vertical="center"/>
    </xf>
    <xf numFmtId="0" fontId="14" fillId="0" borderId="0" xfId="2" applyFont="1" applyAlignment="1">
      <alignment shrinkToFit="1"/>
    </xf>
    <xf numFmtId="0" fontId="2" fillId="0" borderId="0" xfId="2">
      <alignment vertical="center"/>
    </xf>
    <xf numFmtId="0" fontId="28" fillId="0" borderId="0" xfId="0" applyFont="1">
      <alignment vertical="center"/>
    </xf>
    <xf numFmtId="0" fontId="29" fillId="0" borderId="0" xfId="0" applyFont="1" applyAlignment="1">
      <alignment horizontal="center" vertical="center"/>
    </xf>
    <xf numFmtId="0" fontId="30" fillId="0" borderId="0" xfId="0" applyFont="1" applyAlignment="1">
      <alignment horizontal="center" vertical="center"/>
    </xf>
    <xf numFmtId="41" fontId="28" fillId="0" borderId="0" xfId="1" applyFont="1">
      <alignment vertical="center"/>
    </xf>
    <xf numFmtId="0" fontId="28" fillId="2" borderId="0" xfId="0" applyFont="1" applyFill="1">
      <alignment vertical="center"/>
    </xf>
    <xf numFmtId="0" fontId="28" fillId="0" borderId="0" xfId="0" applyFont="1" applyAlignment="1">
      <alignment horizontal="center" vertical="center"/>
    </xf>
    <xf numFmtId="0" fontId="31" fillId="0" borderId="0" xfId="0" applyFont="1" applyAlignment="1">
      <alignment horizontal="left" vertical="center"/>
    </xf>
    <xf numFmtId="0" fontId="32" fillId="0" borderId="0" xfId="0" applyFont="1" applyAlignment="1">
      <alignment horizontal="center" vertical="center"/>
    </xf>
    <xf numFmtId="0" fontId="33" fillId="0" borderId="0" xfId="1" applyNumberFormat="1" applyFont="1" applyAlignment="1">
      <alignment horizontal="right" vertical="center"/>
    </xf>
    <xf numFmtId="41" fontId="33" fillId="0" borderId="0" xfId="1" applyFont="1" applyAlignment="1">
      <alignment horizontal="right" vertical="center"/>
    </xf>
    <xf numFmtId="41" fontId="28" fillId="0" borderId="0" xfId="1" applyFont="1" applyAlignment="1">
      <alignment horizontal="center" vertical="center"/>
    </xf>
    <xf numFmtId="41" fontId="28" fillId="3" borderId="0" xfId="1" applyFont="1" applyFill="1">
      <alignment vertical="center"/>
    </xf>
    <xf numFmtId="0" fontId="35" fillId="0" borderId="1" xfId="0" applyFont="1" applyBorder="1" applyAlignment="1">
      <alignment horizontal="center" vertical="center"/>
    </xf>
    <xf numFmtId="0" fontId="33" fillId="0" borderId="17" xfId="0" applyFont="1" applyBorder="1" applyAlignment="1">
      <alignment horizontal="center" vertical="center" shrinkToFit="1"/>
    </xf>
    <xf numFmtId="0" fontId="35" fillId="0" borderId="1" xfId="0" applyFont="1" applyBorder="1" applyAlignment="1">
      <alignment horizontal="center" vertical="center" shrinkToFit="1"/>
    </xf>
    <xf numFmtId="0" fontId="37" fillId="0" borderId="0" xfId="0" applyFont="1">
      <alignment vertical="center"/>
    </xf>
    <xf numFmtId="41" fontId="37" fillId="0" borderId="0" xfId="1" applyFont="1">
      <alignment vertical="center"/>
    </xf>
    <xf numFmtId="41" fontId="10" fillId="0" borderId="0" xfId="1" applyFont="1" applyAlignment="1">
      <alignment vertical="center"/>
    </xf>
    <xf numFmtId="0" fontId="16" fillId="0" borderId="7" xfId="5" applyFont="1" applyBorder="1" applyAlignment="1">
      <alignment horizontal="center" wrapText="1" shrinkToFit="1"/>
    </xf>
    <xf numFmtId="0" fontId="16" fillId="0" borderId="10" xfId="5" applyFont="1" applyBorder="1" applyAlignment="1">
      <alignment horizontal="center" vertical="top" wrapText="1" shrinkToFit="1"/>
    </xf>
    <xf numFmtId="41" fontId="16" fillId="0" borderId="1" xfId="6" applyFont="1" applyFill="1" applyBorder="1" applyAlignment="1">
      <alignment vertical="center" shrinkToFit="1"/>
    </xf>
    <xf numFmtId="41" fontId="16" fillId="0" borderId="1" xfId="7" applyNumberFormat="1" applyFont="1" applyFill="1" applyBorder="1" applyAlignment="1">
      <alignment vertical="center" shrinkToFit="1"/>
    </xf>
    <xf numFmtId="0" fontId="16" fillId="0" borderId="7" xfId="5" quotePrefix="1" applyFont="1" applyBorder="1" applyAlignment="1">
      <alignment horizontal="center" wrapText="1" shrinkToFit="1"/>
    </xf>
    <xf numFmtId="41" fontId="16" fillId="0" borderId="1" xfId="7" applyNumberFormat="1" applyFont="1" applyFill="1" applyBorder="1" applyAlignment="1">
      <alignment vertical="center" shrinkToFit="1"/>
    </xf>
    <xf numFmtId="0" fontId="16" fillId="0" borderId="7" xfId="2" applyFont="1" applyBorder="1" applyAlignment="1">
      <alignment horizontal="center" vertical="center" shrinkToFit="1"/>
    </xf>
    <xf numFmtId="0" fontId="16" fillId="0" borderId="10" xfId="2" applyFont="1" applyBorder="1" applyAlignment="1">
      <alignment horizontal="center" vertical="center" shrinkToFit="1"/>
    </xf>
    <xf numFmtId="0" fontId="26" fillId="0" borderId="1" xfId="2" applyFont="1" applyBorder="1" applyAlignment="1">
      <alignment horizontal="center" vertical="center"/>
    </xf>
    <xf numFmtId="0" fontId="2" fillId="0" borderId="1" xfId="2" applyBorder="1" applyAlignment="1">
      <alignment horizontal="center" vertical="center"/>
    </xf>
    <xf numFmtId="0" fontId="10" fillId="3" borderId="13" xfId="3" applyFont="1" applyFill="1" applyBorder="1" applyAlignment="1">
      <alignment horizontal="center" vertical="center"/>
    </xf>
    <xf numFmtId="0" fontId="16" fillId="0" borderId="1" xfId="2" applyFont="1" applyBorder="1" applyAlignment="1">
      <alignment horizontal="center" vertical="center"/>
    </xf>
    <xf numFmtId="179" fontId="24" fillId="0" borderId="1" xfId="2" applyNumberFormat="1" applyFont="1" applyBorder="1" applyAlignment="1">
      <alignment horizontal="center" vertical="center" shrinkToFit="1"/>
    </xf>
    <xf numFmtId="41" fontId="16" fillId="0" borderId="1" xfId="7" applyNumberFormat="1" applyFont="1" applyFill="1" applyBorder="1" applyAlignment="1">
      <alignment horizontal="center" vertical="center" shrinkToFit="1"/>
    </xf>
    <xf numFmtId="41" fontId="16" fillId="0" borderId="1" xfId="6" applyFont="1" applyFill="1" applyBorder="1" applyAlignment="1">
      <alignment vertical="center" shrinkToFit="1"/>
    </xf>
    <xf numFmtId="41" fontId="25" fillId="0" borderId="1" xfId="6" applyFont="1" applyFill="1" applyBorder="1" applyAlignment="1">
      <alignment shrinkToFit="1"/>
    </xf>
    <xf numFmtId="41" fontId="16" fillId="0" borderId="1" xfId="6" applyFont="1" applyFill="1" applyBorder="1" applyAlignment="1">
      <alignment horizontal="center" vertical="center" shrinkToFit="1"/>
    </xf>
    <xf numFmtId="177" fontId="16" fillId="0" borderId="1" xfId="7" applyNumberFormat="1" applyFont="1" applyFill="1" applyBorder="1" applyAlignment="1">
      <alignment horizontal="center" vertical="center" shrinkToFit="1"/>
    </xf>
    <xf numFmtId="177" fontId="16" fillId="0" borderId="1" xfId="7" applyNumberFormat="1" applyFont="1" applyFill="1" applyBorder="1" applyAlignment="1">
      <alignment vertical="center" shrinkToFit="1"/>
    </xf>
    <xf numFmtId="177" fontId="25" fillId="0" borderId="1" xfId="7" applyNumberFormat="1" applyFont="1" applyFill="1" applyBorder="1" applyAlignment="1">
      <alignment shrinkToFit="1"/>
    </xf>
    <xf numFmtId="0" fontId="16" fillId="0" borderId="1" xfId="2" applyFont="1" applyBorder="1" applyAlignment="1">
      <alignment horizontal="center" vertical="center" shrinkToFit="1"/>
    </xf>
    <xf numFmtId="0" fontId="26" fillId="0" borderId="1" xfId="2" applyFont="1" applyBorder="1" applyAlignment="1">
      <alignment horizontal="center" vertical="center" wrapText="1"/>
    </xf>
    <xf numFmtId="0" fontId="2" fillId="0" borderId="1" xfId="2" applyBorder="1" applyAlignment="1"/>
    <xf numFmtId="0" fontId="16" fillId="0" borderId="1" xfId="4" applyFont="1" applyBorder="1" applyAlignment="1">
      <alignment horizontal="center" vertical="center"/>
    </xf>
    <xf numFmtId="0" fontId="16" fillId="0" borderId="8" xfId="5" applyFont="1" applyBorder="1" applyAlignment="1">
      <alignment horizontal="left" vertical="center" wrapText="1" shrinkToFit="1"/>
    </xf>
    <xf numFmtId="0" fontId="16" fillId="0" borderId="9" xfId="5" applyFont="1" applyBorder="1" applyAlignment="1">
      <alignment horizontal="left" vertical="center" wrapText="1" shrinkToFit="1"/>
    </xf>
    <xf numFmtId="0" fontId="16" fillId="0" borderId="11" xfId="5" applyFont="1" applyBorder="1" applyAlignment="1">
      <alignment horizontal="left" vertical="center" wrapText="1" shrinkToFit="1"/>
    </xf>
    <xf numFmtId="0" fontId="16" fillId="0" borderId="12" xfId="5" applyFont="1" applyBorder="1" applyAlignment="1">
      <alignment horizontal="left" vertical="center" wrapText="1" shrinkToFit="1"/>
    </xf>
    <xf numFmtId="178" fontId="16" fillId="0" borderId="7" xfId="6" applyNumberFormat="1" applyFont="1" applyFill="1" applyBorder="1" applyAlignment="1">
      <alignment vertical="center" shrinkToFit="1"/>
    </xf>
    <xf numFmtId="178" fontId="16" fillId="0" borderId="10" xfId="6" applyNumberFormat="1" applyFont="1" applyFill="1" applyBorder="1" applyAlignment="1">
      <alignment vertical="center" shrinkToFit="1"/>
    </xf>
    <xf numFmtId="177" fontId="16" fillId="0" borderId="7" xfId="7" applyNumberFormat="1" applyFont="1" applyFill="1" applyBorder="1" applyAlignment="1">
      <alignment horizontal="center" vertical="center" shrinkToFit="1"/>
    </xf>
    <xf numFmtId="177" fontId="16" fillId="0" borderId="10" xfId="7" applyNumberFormat="1" applyFont="1" applyFill="1" applyBorder="1" applyAlignment="1">
      <alignment horizontal="center" vertical="center" shrinkToFit="1"/>
    </xf>
    <xf numFmtId="0" fontId="3" fillId="0" borderId="1" xfId="2" applyFont="1" applyBorder="1" applyAlignment="1">
      <alignment horizontal="center" vertical="center" shrinkToFit="1"/>
    </xf>
    <xf numFmtId="0" fontId="3" fillId="0" borderId="1" xfId="2" applyFont="1" applyBorder="1" applyAlignment="1">
      <alignment horizontal="center" vertical="center"/>
    </xf>
    <xf numFmtId="0" fontId="3" fillId="0" borderId="1" xfId="2" applyFont="1" applyBorder="1" applyAlignment="1">
      <alignment horizontal="center" vertical="center" wrapText="1"/>
    </xf>
    <xf numFmtId="0" fontId="16" fillId="0" borderId="1" xfId="2" applyFont="1" applyBorder="1" applyAlignment="1">
      <alignment horizontal="center" vertical="center" wrapText="1"/>
    </xf>
    <xf numFmtId="0" fontId="17" fillId="0" borderId="1" xfId="2" applyFont="1" applyBorder="1" applyAlignment="1">
      <alignment horizontal="center" vertical="center" wrapText="1"/>
    </xf>
    <xf numFmtId="0" fontId="17" fillId="0" borderId="1" xfId="2" applyFont="1" applyBorder="1" applyAlignment="1">
      <alignment horizontal="center" vertical="center"/>
    </xf>
    <xf numFmtId="176" fontId="3" fillId="0" borderId="4" xfId="2" applyNumberFormat="1" applyFont="1" applyBorder="1" applyAlignment="1">
      <alignment horizontal="center" vertical="center"/>
    </xf>
    <xf numFmtId="176" fontId="3" fillId="0" borderId="5" xfId="2" quotePrefix="1" applyNumberFormat="1" applyFont="1" applyBorder="1" applyAlignment="1">
      <alignment horizontal="center" vertical="center"/>
    </xf>
    <xf numFmtId="0" fontId="3" fillId="0" borderId="1" xfId="2" quotePrefix="1" applyFont="1" applyBorder="1" applyAlignment="1">
      <alignment horizontal="center" vertical="center"/>
    </xf>
    <xf numFmtId="0" fontId="3" fillId="0" borderId="1" xfId="2" applyFont="1" applyBorder="1" applyAlignment="1">
      <alignment horizontal="center" vertical="center" wrapText="1" shrinkToFit="1"/>
    </xf>
    <xf numFmtId="0" fontId="12" fillId="0" borderId="1" xfId="2" applyFont="1" applyBorder="1" applyAlignment="1">
      <alignment horizontal="center" vertical="center"/>
    </xf>
    <xf numFmtId="0" fontId="6" fillId="0" borderId="1" xfId="2" applyFont="1" applyBorder="1" applyAlignment="1">
      <alignment horizontal="center" vertical="center" shrinkToFit="1"/>
    </xf>
    <xf numFmtId="0" fontId="2" fillId="0" borderId="1" xfId="2" applyBorder="1" applyAlignment="1">
      <alignment horizontal="center" vertical="center" shrinkToFit="1"/>
    </xf>
    <xf numFmtId="0" fontId="7" fillId="0" borderId="1" xfId="2" applyFont="1" applyBorder="1" applyAlignment="1">
      <alignment horizontal="center" vertical="center"/>
    </xf>
    <xf numFmtId="176" fontId="3" fillId="0" borderId="2" xfId="2" applyNumberFormat="1" applyFont="1" applyBorder="1" applyAlignment="1">
      <alignment horizontal="center" vertical="center"/>
    </xf>
    <xf numFmtId="176" fontId="3" fillId="0" borderId="3" xfId="2" quotePrefix="1" applyNumberFormat="1" applyFont="1" applyBorder="1" applyAlignment="1">
      <alignment horizontal="center" vertical="center"/>
    </xf>
    <xf numFmtId="0" fontId="34" fillId="0" borderId="8" xfId="0" applyFont="1" applyBorder="1" applyAlignment="1">
      <alignment horizontal="center" vertical="center"/>
    </xf>
    <xf numFmtId="0" fontId="34" fillId="0" borderId="14" xfId="0" applyFont="1" applyBorder="1" applyAlignment="1">
      <alignment horizontal="center" vertical="center"/>
    </xf>
    <xf numFmtId="0" fontId="34" fillId="0" borderId="9" xfId="0" applyFont="1" applyBorder="1" applyAlignment="1">
      <alignment horizontal="center" vertical="center"/>
    </xf>
    <xf numFmtId="0" fontId="34" fillId="0" borderId="13" xfId="0" applyFont="1" applyBorder="1" applyAlignment="1">
      <alignment horizontal="center" vertical="center"/>
    </xf>
    <xf numFmtId="0" fontId="34" fillId="0" borderId="0" xfId="0" applyFont="1" applyAlignment="1">
      <alignment horizontal="center" vertical="center"/>
    </xf>
    <xf numFmtId="0" fontId="34" fillId="0" borderId="15" xfId="0" applyFont="1" applyBorder="1" applyAlignment="1">
      <alignment horizontal="center" vertical="center"/>
    </xf>
    <xf numFmtId="0" fontId="34" fillId="0" borderId="11" xfId="0" applyFont="1" applyBorder="1" applyAlignment="1">
      <alignment horizontal="center" vertical="center"/>
    </xf>
    <xf numFmtId="0" fontId="34" fillId="0" borderId="16" xfId="0" applyFont="1" applyBorder="1" applyAlignment="1">
      <alignment horizontal="center" vertical="center"/>
    </xf>
    <xf numFmtId="0" fontId="34" fillId="0" borderId="12" xfId="0" applyFont="1" applyBorder="1" applyAlignment="1">
      <alignment horizontal="center" vertical="center"/>
    </xf>
    <xf numFmtId="0" fontId="33" fillId="0" borderId="17" xfId="0" applyFont="1" applyBorder="1" applyAlignment="1">
      <alignment horizontal="center" vertical="center"/>
    </xf>
    <xf numFmtId="0" fontId="33" fillId="0" borderId="18" xfId="0" applyFont="1" applyBorder="1" applyAlignment="1">
      <alignment horizontal="center" vertical="center"/>
    </xf>
    <xf numFmtId="0" fontId="35" fillId="0" borderId="17" xfId="0" applyFont="1" applyBorder="1" applyAlignment="1">
      <alignment horizontal="center" vertical="center"/>
    </xf>
    <xf numFmtId="0" fontId="35" fillId="0" borderId="19" xfId="0" applyFont="1" applyBorder="1" applyAlignment="1">
      <alignment horizontal="center" vertical="center"/>
    </xf>
    <xf numFmtId="0" fontId="35" fillId="0" borderId="1" xfId="0" applyFont="1" applyBorder="1" applyAlignment="1">
      <alignment horizontal="center" vertical="center"/>
    </xf>
    <xf numFmtId="0" fontId="35" fillId="0" borderId="17" xfId="0" applyFont="1" applyBorder="1" applyAlignment="1">
      <alignment horizontal="center" vertical="center" shrinkToFit="1"/>
    </xf>
    <xf numFmtId="0" fontId="35" fillId="0" borderId="18" xfId="0" applyFont="1" applyBorder="1" applyAlignment="1">
      <alignment horizontal="center" vertical="center" shrinkToFit="1"/>
    </xf>
    <xf numFmtId="0" fontId="35" fillId="0" borderId="19" xfId="0" applyFont="1" applyBorder="1" applyAlignment="1">
      <alignment horizontal="center" vertical="center" shrinkToFit="1"/>
    </xf>
    <xf numFmtId="0" fontId="29" fillId="0" borderId="0" xfId="0" applyFont="1" applyAlignment="1">
      <alignment horizontal="center" vertical="center"/>
    </xf>
    <xf numFmtId="0" fontId="30" fillId="0" borderId="0" xfId="0" applyFont="1" applyAlignment="1">
      <alignment horizontal="center" vertical="center"/>
    </xf>
  </cellXfs>
  <cellStyles count="9">
    <cellStyle name="쉼표 [0]" xfId="1" builtinId="6"/>
    <cellStyle name="쉼표 [0] 3 2" xfId="6"/>
    <cellStyle name="콤마_노임" xfId="8"/>
    <cellStyle name="콤마_통합자료 3" xfId="7"/>
    <cellStyle name="표준" xfId="0" builtinId="0"/>
    <cellStyle name="표준 2 2 2" xfId="3"/>
    <cellStyle name="표준 3 2" xfId="2"/>
    <cellStyle name="표준 3 3 2" xfId="5"/>
    <cellStyle name="표준_명인근로내역"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N47"/>
  <sheetViews>
    <sheetView showGridLines="0" tabSelected="1" zoomScaleNormal="100" zoomScaleSheetLayoutView="100" workbookViewId="0">
      <pane xSplit="5" ySplit="5" topLeftCell="AI6" activePane="bottomRight" state="frozen"/>
      <selection activeCell="E1" sqref="E1"/>
      <selection pane="topRight" activeCell="E1" sqref="E1"/>
      <selection pane="bottomLeft" activeCell="E1" sqref="E1"/>
      <selection pane="bottomRight" activeCell="AL44" sqref="AJ8:AL44"/>
    </sheetView>
  </sheetViews>
  <sheetFormatPr defaultColWidth="9" defaultRowHeight="24.95" customHeight="1" outlineLevelCol="1" x14ac:dyDescent="0.15"/>
  <cols>
    <col min="1" max="1" width="4" style="23" customWidth="1"/>
    <col min="2" max="2" width="7.125" style="23" customWidth="1"/>
    <col min="3" max="3" width="8.125" style="23" customWidth="1"/>
    <col min="4" max="5" width="12.625" style="23" customWidth="1"/>
    <col min="6" max="6" width="2.25" style="23" customWidth="1"/>
    <col min="7" max="7" width="2.375" style="23" customWidth="1"/>
    <col min="8" max="21" width="2.25" style="23" customWidth="1"/>
    <col min="22" max="22" width="5.75" style="23" customWidth="1"/>
    <col min="23" max="23" width="8.625" style="23" customWidth="1"/>
    <col min="24" max="24" width="12" style="23" customWidth="1"/>
    <col min="25" max="25" width="8.125" style="24" hidden="1" customWidth="1"/>
    <col min="26" max="26" width="8.5" style="24" hidden="1" customWidth="1"/>
    <col min="27" max="30" width="9.75" style="23" customWidth="1"/>
    <col min="31" max="31" width="12" style="23" customWidth="1"/>
    <col min="32" max="32" width="6.25" style="23" customWidth="1"/>
    <col min="33" max="33" width="13.25" style="25" hidden="1" customWidth="1" outlineLevel="1"/>
    <col min="34" max="34" width="9" style="4" hidden="1" customWidth="1" outlineLevel="1"/>
    <col min="35" max="35" width="9" style="4" collapsed="1"/>
    <col min="36" max="36" width="15.625" style="4" customWidth="1"/>
    <col min="37" max="37" width="13.375" style="4" bestFit="1" customWidth="1"/>
    <col min="38" max="38" width="25.625" style="4" customWidth="1"/>
    <col min="39" max="39" width="10" style="4" bestFit="1" customWidth="1"/>
    <col min="40" max="16384" width="9" style="4"/>
  </cols>
  <sheetData>
    <row r="1" spans="1:40" ht="24.95" customHeight="1" x14ac:dyDescent="0.3">
      <c r="A1" s="77" t="s">
        <v>0</v>
      </c>
      <c r="B1" s="87" t="s">
        <v>46</v>
      </c>
      <c r="C1" s="88"/>
      <c r="D1" s="88"/>
      <c r="E1" s="89" t="s">
        <v>1</v>
      </c>
      <c r="F1" s="89"/>
      <c r="G1" s="89"/>
      <c r="H1" s="89"/>
      <c r="I1" s="89"/>
      <c r="J1" s="89"/>
      <c r="K1" s="89"/>
      <c r="L1" s="89"/>
      <c r="M1" s="89"/>
      <c r="N1" s="89"/>
      <c r="O1" s="89"/>
      <c r="P1" s="89"/>
      <c r="Q1" s="89"/>
      <c r="R1" s="89"/>
      <c r="S1" s="89"/>
      <c r="T1" s="89"/>
      <c r="U1" s="89"/>
      <c r="V1" s="77" t="s">
        <v>2</v>
      </c>
      <c r="W1" s="90">
        <v>45809</v>
      </c>
      <c r="X1" s="91"/>
      <c r="Y1" s="2"/>
      <c r="Z1" s="2"/>
      <c r="AA1" s="77" t="s">
        <v>3</v>
      </c>
      <c r="AB1" s="76" t="s">
        <v>48</v>
      </c>
      <c r="AC1" s="76"/>
      <c r="AD1" s="76"/>
      <c r="AE1" s="76"/>
      <c r="AF1" s="76"/>
      <c r="AG1" s="3"/>
      <c r="AI1" s="5">
        <v>1</v>
      </c>
    </row>
    <row r="2" spans="1:40" ht="24.95" customHeight="1" x14ac:dyDescent="0.3">
      <c r="A2" s="86"/>
      <c r="B2" s="88"/>
      <c r="C2" s="88"/>
      <c r="D2" s="88"/>
      <c r="E2" s="89"/>
      <c r="F2" s="89"/>
      <c r="G2" s="89"/>
      <c r="H2" s="89"/>
      <c r="I2" s="89"/>
      <c r="J2" s="89"/>
      <c r="K2" s="89"/>
      <c r="L2" s="89"/>
      <c r="M2" s="89"/>
      <c r="N2" s="89"/>
      <c r="O2" s="89"/>
      <c r="P2" s="89"/>
      <c r="Q2" s="89"/>
      <c r="R2" s="89"/>
      <c r="S2" s="89"/>
      <c r="T2" s="89"/>
      <c r="U2" s="89"/>
      <c r="V2" s="53"/>
      <c r="W2" s="82">
        <v>45838</v>
      </c>
      <c r="X2" s="83"/>
      <c r="Y2" s="2"/>
      <c r="Z2" s="2"/>
      <c r="AA2" s="84"/>
      <c r="AB2" s="76"/>
      <c r="AC2" s="76"/>
      <c r="AD2" s="76"/>
      <c r="AE2" s="76"/>
      <c r="AF2" s="76"/>
      <c r="AG2" s="3"/>
      <c r="AI2" s="5">
        <v>1</v>
      </c>
    </row>
    <row r="3" spans="1:40" ht="24.95" customHeight="1" x14ac:dyDescent="0.3">
      <c r="A3" s="77" t="s">
        <v>4</v>
      </c>
      <c r="B3" s="77" t="s">
        <v>5</v>
      </c>
      <c r="C3" s="78" t="s">
        <v>6</v>
      </c>
      <c r="D3" s="77" t="s">
        <v>7</v>
      </c>
      <c r="E3" s="77"/>
      <c r="F3" s="6" t="s">
        <v>8</v>
      </c>
      <c r="G3" s="7"/>
      <c r="H3" s="7"/>
      <c r="I3" s="7"/>
      <c r="J3" s="7"/>
      <c r="K3" s="7"/>
      <c r="L3" s="7"/>
      <c r="M3" s="7"/>
      <c r="N3" s="7"/>
      <c r="O3" s="7"/>
      <c r="P3" s="7"/>
      <c r="Q3" s="7"/>
      <c r="R3" s="7"/>
      <c r="S3" s="7"/>
      <c r="T3" s="7"/>
      <c r="U3" s="7"/>
      <c r="V3" s="78" t="s">
        <v>9</v>
      </c>
      <c r="W3" s="85" t="s">
        <v>10</v>
      </c>
      <c r="X3" s="85" t="s">
        <v>11</v>
      </c>
      <c r="Y3" s="76" t="s">
        <v>12</v>
      </c>
      <c r="Z3" s="76"/>
      <c r="AA3" s="77" t="s">
        <v>13</v>
      </c>
      <c r="AB3" s="77"/>
      <c r="AC3" s="77"/>
      <c r="AD3" s="77"/>
      <c r="AE3" s="78" t="s">
        <v>14</v>
      </c>
      <c r="AF3" s="79" t="s">
        <v>15</v>
      </c>
      <c r="AG3" s="80" t="s">
        <v>16</v>
      </c>
      <c r="AI3" s="5">
        <v>1</v>
      </c>
    </row>
    <row r="4" spans="1:40" ht="24.95" customHeight="1" x14ac:dyDescent="0.3">
      <c r="A4" s="77"/>
      <c r="B4" s="77"/>
      <c r="C4" s="78"/>
      <c r="D4" s="77"/>
      <c r="E4" s="77"/>
      <c r="F4" s="8">
        <v>1</v>
      </c>
      <c r="G4" s="9">
        <v>2</v>
      </c>
      <c r="H4" s="10">
        <v>3</v>
      </c>
      <c r="I4" s="9">
        <v>4</v>
      </c>
      <c r="J4" s="9">
        <v>5</v>
      </c>
      <c r="K4" s="9">
        <v>6</v>
      </c>
      <c r="L4" s="11">
        <v>7</v>
      </c>
      <c r="M4" s="10">
        <v>8</v>
      </c>
      <c r="N4" s="9">
        <v>9</v>
      </c>
      <c r="O4" s="9">
        <v>10</v>
      </c>
      <c r="P4" s="9">
        <v>11</v>
      </c>
      <c r="Q4" s="9">
        <v>12</v>
      </c>
      <c r="R4" s="9">
        <v>13</v>
      </c>
      <c r="S4" s="11">
        <v>14</v>
      </c>
      <c r="T4" s="10">
        <v>15</v>
      </c>
      <c r="U4" s="12"/>
      <c r="V4" s="78"/>
      <c r="W4" s="85"/>
      <c r="X4" s="85"/>
      <c r="Y4" s="76"/>
      <c r="Z4" s="76"/>
      <c r="AA4" s="1" t="s">
        <v>17</v>
      </c>
      <c r="AB4" s="1" t="s">
        <v>18</v>
      </c>
      <c r="AC4" s="1" t="s">
        <v>19</v>
      </c>
      <c r="AD4" s="77" t="s">
        <v>20</v>
      </c>
      <c r="AE4" s="78"/>
      <c r="AF4" s="79"/>
      <c r="AG4" s="81"/>
      <c r="AI4" s="5">
        <v>1</v>
      </c>
    </row>
    <row r="5" spans="1:40" ht="24.95" customHeight="1" x14ac:dyDescent="0.3">
      <c r="A5" s="77"/>
      <c r="B5" s="77"/>
      <c r="C5" s="78"/>
      <c r="D5" s="77"/>
      <c r="E5" s="77"/>
      <c r="F5" s="13">
        <v>16</v>
      </c>
      <c r="G5" s="9">
        <v>17</v>
      </c>
      <c r="H5" s="9">
        <v>18</v>
      </c>
      <c r="I5" s="9">
        <v>19</v>
      </c>
      <c r="J5" s="9">
        <v>20</v>
      </c>
      <c r="K5" s="11">
        <v>21</v>
      </c>
      <c r="L5" s="10">
        <v>22</v>
      </c>
      <c r="M5" s="9">
        <v>23</v>
      </c>
      <c r="N5" s="9">
        <v>24</v>
      </c>
      <c r="O5" s="9">
        <v>25</v>
      </c>
      <c r="P5" s="9">
        <v>26</v>
      </c>
      <c r="Q5" s="9">
        <v>27</v>
      </c>
      <c r="R5" s="11">
        <v>28</v>
      </c>
      <c r="S5" s="10">
        <v>29</v>
      </c>
      <c r="T5" s="9">
        <v>30</v>
      </c>
      <c r="U5" s="9">
        <v>31</v>
      </c>
      <c r="V5" s="78"/>
      <c r="W5" s="85"/>
      <c r="X5" s="85"/>
      <c r="Y5" s="76"/>
      <c r="Z5" s="76"/>
      <c r="AA5" s="1" t="s">
        <v>21</v>
      </c>
      <c r="AB5" s="1" t="s">
        <v>22</v>
      </c>
      <c r="AC5" s="1" t="s">
        <v>23</v>
      </c>
      <c r="AD5" s="77"/>
      <c r="AE5" s="78"/>
      <c r="AF5" s="79"/>
      <c r="AG5" s="81"/>
      <c r="AI5" s="5">
        <v>1</v>
      </c>
      <c r="AJ5" s="4" t="s">
        <v>24</v>
      </c>
      <c r="AK5" s="4" t="s">
        <v>25</v>
      </c>
      <c r="AL5" s="4" t="s">
        <v>26</v>
      </c>
    </row>
    <row r="6" spans="1:40" ht="24.95" customHeight="1" x14ac:dyDescent="0.15">
      <c r="A6" s="55">
        <f>IF(B6&gt;0,1,"")</f>
        <v>1</v>
      </c>
      <c r="B6" s="67" t="s">
        <v>49</v>
      </c>
      <c r="C6" s="44">
        <v>601021</v>
      </c>
      <c r="D6" s="68" t="s">
        <v>50</v>
      </c>
      <c r="E6" s="69"/>
      <c r="F6" s="14"/>
      <c r="G6" s="14"/>
      <c r="H6" s="14"/>
      <c r="I6" s="14"/>
      <c r="J6" s="14"/>
      <c r="K6" s="14"/>
      <c r="L6" s="14"/>
      <c r="M6" s="14"/>
      <c r="N6" s="14"/>
      <c r="O6" s="14"/>
      <c r="P6" s="14"/>
      <c r="Q6" s="14"/>
      <c r="R6" s="14"/>
      <c r="S6" s="14"/>
      <c r="T6" s="14"/>
      <c r="U6" s="15"/>
      <c r="V6" s="72">
        <f>SUM(F6:U7)</f>
        <v>1</v>
      </c>
      <c r="W6" s="74">
        <v>200000</v>
      </c>
      <c r="X6" s="58">
        <f>V6*W6</f>
        <v>200000</v>
      </c>
      <c r="Y6" s="16">
        <f>IF((F6*W6)&gt;=150000,(F6*W6)-150000,0)+IF((G6*W6)&gt;=150000,(G6*W6)-150000,0)+IF((H6*W6)&gt;=150000,(H6*W6)-150000,0)+IF((I6*W6)&gt;=150000,(I6*W6)-150000,0)+IF((J6*W6)&gt;=150000,(J6*W6)-150000,0)+IF((K6*W6)&gt;=150000,(K6*W6)-150000,0)+IF((L6*W6)&gt;=150000,(L6*W6)-150000,0)+IF((M6*W6)&gt;=150000,(M6*W6)-150000,0)+IF((N6*W6)&gt;=150000,(N6*W6)-150000,0)+IF((O6*W6)&gt;=150000,(O6*W6)-150000,0)+IF((P6*W6)&gt;=150000,(P6*W6)-150000,0)+IF((Q6*W6)&gt;=150000,(Q6*W6)-150000,0)+IF((R6*W6)&gt;=150000,(R6*W6)-150000,0)+IF((S6*W6)&gt;=150000,(S6*W6)-150000,0)+IF((T6*W6)&gt;=150000,(T6*W6)-150000,0)</f>
        <v>0</v>
      </c>
      <c r="Z6" s="60">
        <f>+Y6+Y7</f>
        <v>50000</v>
      </c>
      <c r="AA6" s="17">
        <f>IF((ROUNDDOWN((+Z6*6%)*45%,-1))&gt;=1000,(ROUNDDOWN((+Z6*6%)*45%,-1)),0)</f>
        <v>1350</v>
      </c>
      <c r="AB6" s="18">
        <f>IFERROR(IF(DATEDIF(DATE(MID(C6,1,2),MID(C6,3,2),MID(C6,5,2)),$W$2,"y")&gt;=60,0,IF(OR(V6&gt;=8,X6&gt;=2200000),TRUNC(X6*4.5%,-1),0)),0)</f>
        <v>0</v>
      </c>
      <c r="AC6" s="18">
        <f>IFERROR(IF(AND((DATEDIF(TEXT(LEFT(C6,6),"00-00-00"),$W$2,"Y")&gt;19),(DATEDIF(TEXT(LEFT(C6,6),"00-00-00"),$W$2,"Y")&lt;65)),TRUNC(X6*0.9%,-1),0),0)</f>
        <v>1800</v>
      </c>
      <c r="AD6" s="61">
        <f>SUM(AA6:AC7)</f>
        <v>3280</v>
      </c>
      <c r="AE6" s="62">
        <f>+X6-AD6</f>
        <v>196720</v>
      </c>
      <c r="AF6" s="64"/>
      <c r="AG6" s="65">
        <f>IF(ISERROR(DATEDIF((DATEVALUE(LEFT(C6,2)&amp;"-"&amp;MID(C6,3,2)&amp;"-"&amp;MID(C6,5,2))),$W$2,"y")),"",DATEDIF((DATEVALUE(LEFT(C6,2)&amp;"-"&amp;MID(C6,3,2)&amp;"-"&amp;MID(C6,5,2))),$W$2,"y"))</f>
        <v>64</v>
      </c>
      <c r="AH6" s="5">
        <v>1</v>
      </c>
      <c r="AI6" s="5">
        <f>IF(AE6&gt;0,1,0)</f>
        <v>1</v>
      </c>
      <c r="AJ6" s="19" t="s">
        <v>63</v>
      </c>
      <c r="AK6" s="19" t="s">
        <v>51</v>
      </c>
      <c r="AL6" s="19" t="s">
        <v>52</v>
      </c>
      <c r="AM6" s="20"/>
      <c r="AN6" s="20"/>
    </row>
    <row r="7" spans="1:40" ht="24.95" customHeight="1" x14ac:dyDescent="0.3">
      <c r="A7" s="66"/>
      <c r="B7" s="67"/>
      <c r="C7" s="45">
        <v>-2630411</v>
      </c>
      <c r="D7" s="70"/>
      <c r="E7" s="71"/>
      <c r="F7" s="14"/>
      <c r="G7" s="14"/>
      <c r="H7" s="14"/>
      <c r="I7" s="14"/>
      <c r="J7" s="14"/>
      <c r="K7" s="14"/>
      <c r="L7" s="14"/>
      <c r="M7" s="14">
        <v>1</v>
      </c>
      <c r="N7" s="14"/>
      <c r="O7" s="14"/>
      <c r="P7" s="14"/>
      <c r="Q7" s="14"/>
      <c r="R7" s="14"/>
      <c r="S7" s="14"/>
      <c r="T7" s="14"/>
      <c r="U7" s="14"/>
      <c r="V7" s="73"/>
      <c r="W7" s="75"/>
      <c r="X7" s="59"/>
      <c r="Y7" s="16">
        <f>IF((F7*W6)&gt;=150000,(F7*W6)-150000,0)+IF((G7*W6)&gt;=150000,(G7*W6)-150000,0)+IF((H7*W6)&gt;=150000,(H7*W6)-150000,0)+IF((I7*W6)&gt;=150000,(I7*W6)-150000,0)+IF((J7*W6)&gt;=150000,(J7*W6)-150000,0)+IF((K7*W6)&gt;=150000,(K7*W6)-150000,0)+IF((L7*W6)&gt;=150000,(L7*W6)-150000,0)+IF((M7*W6)&gt;=150000,(M7*W6)-150000,0)+IF((N7*W6)&gt;=150000,(N7*W6)-150000,0)+IF((O7*W6)&gt;=150000,(O7*W6)-150000,0)+IF((P7*W6)&gt;=150000,(P7*W6)-150000,0)+IF((Q7*W6)&gt;=150000,(Q7*W6)-150000,0)+IF((R7*W6)&gt;=150000,(R7*W6)-150000,0)+IF((S7*W6)&gt;=150000,(S7*W6)-150000,0)+IF((T7*W6)&gt;=150000,(T7*W6)-150000,0)+IF((U7*W6)&gt;=150000,(U7*W6)-150000,0)</f>
        <v>50000</v>
      </c>
      <c r="Z7" s="60"/>
      <c r="AA7" s="17">
        <f>ROUNDDOWN(AA6*10%,-1)</f>
        <v>130</v>
      </c>
      <c r="AB7" s="18">
        <f>IF(V6&lt;8,0,(TRUNC(X6*3.545%,-1)))</f>
        <v>0</v>
      </c>
      <c r="AC7" s="18">
        <f>TRUNC(((AB7*12.95%)),-1)</f>
        <v>0</v>
      </c>
      <c r="AD7" s="61"/>
      <c r="AE7" s="63"/>
      <c r="AF7" s="64"/>
      <c r="AG7" s="65"/>
      <c r="AH7" s="5">
        <v>2</v>
      </c>
      <c r="AI7" s="21">
        <f>AI6</f>
        <v>1</v>
      </c>
      <c r="AJ7" s="19"/>
      <c r="AK7" s="19"/>
      <c r="AL7" s="19"/>
      <c r="AM7" s="20"/>
      <c r="AN7" s="20"/>
    </row>
    <row r="8" spans="1:40" ht="24.95" customHeight="1" x14ac:dyDescent="0.15">
      <c r="A8" s="55">
        <f>IF(B8&gt;0,A6+1,"")</f>
        <v>2</v>
      </c>
      <c r="B8" s="67" t="s">
        <v>53</v>
      </c>
      <c r="C8" s="44"/>
      <c r="D8" s="68"/>
      <c r="E8" s="69"/>
      <c r="F8" s="14"/>
      <c r="G8" s="14"/>
      <c r="H8" s="14"/>
      <c r="I8" s="14"/>
      <c r="J8" s="14"/>
      <c r="K8" s="14"/>
      <c r="L8" s="14"/>
      <c r="M8" s="14"/>
      <c r="N8" s="14"/>
      <c r="O8" s="14"/>
      <c r="P8" s="14"/>
      <c r="Q8" s="14"/>
      <c r="R8" s="14"/>
      <c r="S8" s="14"/>
      <c r="T8" s="14"/>
      <c r="U8" s="15"/>
      <c r="V8" s="72">
        <f>SUM(F8:U9)</f>
        <v>1</v>
      </c>
      <c r="W8" s="74">
        <v>200000</v>
      </c>
      <c r="X8" s="58">
        <f>V8*W8</f>
        <v>200000</v>
      </c>
      <c r="Y8" s="16">
        <f>IF((F8*W8)&gt;=150000,(F8*W8)-150000,0)+IF((G8*W8)&gt;=150000,(G8*W8)-150000,0)+IF((H8*W8)&gt;=150000,(H8*W8)-150000,0)+IF((I8*W8)&gt;=150000,(I8*W8)-150000,0)+IF((J8*W8)&gt;=150000,(J8*W8)-150000,0)+IF((K8*W8)&gt;=150000,(K8*W8)-150000,0)+IF((L8*W8)&gt;=150000,(L8*W8)-150000,0)+IF((M8*W8)&gt;=150000,(M8*W8)-150000,0)+IF((N8*W8)&gt;=150000,(N8*W8)-150000,0)+IF((O8*W8)&gt;=150000,(O8*W8)-150000,0)+IF((P8*W8)&gt;=150000,(P8*W8)-150000,0)+IF((Q8*W8)&gt;=150000,(Q8*W8)-150000,0)+IF((R8*W8)&gt;=150000,(R8*W8)-150000,0)+IF((S8*W8)&gt;=150000,(S8*W8)-150000,0)+IF((T8*W8)&gt;=150000,(T8*W8)-150000,0)</f>
        <v>0</v>
      </c>
      <c r="Z8" s="60">
        <f>+Y8+Y9</f>
        <v>50000</v>
      </c>
      <c r="AA8" s="17">
        <f>IF((ROUNDDOWN((+Z8*6%)*45%,-1))&gt;=1000,(ROUNDDOWN((+Z8*6%)*45%,-1)),0)</f>
        <v>1350</v>
      </c>
      <c r="AB8" s="18">
        <f>IFERROR(IF(DATEDIF(DATE(MID(C8,1,2),MID(C8,3,2),MID(C8,5,2)),$W$2,"y")&gt;=60,0,IF(OR(V8&gt;=8,X8&gt;=2200000),TRUNC(X8*4.5%,-1),0)),0)</f>
        <v>0</v>
      </c>
      <c r="AC8" s="18">
        <f>IFERROR(IF(AND((DATEDIF(TEXT(LEFT(C8,6),"00-00-00"),$W$2,"Y")&gt;19),(DATEDIF(TEXT(LEFT(C8,6),"00-00-00"),$W$2,"Y")&lt;65)),TRUNC(X8*0.9%,-1),0),0)</f>
        <v>0</v>
      </c>
      <c r="AD8" s="61">
        <f>SUM(AA8:AC9)</f>
        <v>1480</v>
      </c>
      <c r="AE8" s="62">
        <f>+X8-AD8</f>
        <v>198520</v>
      </c>
      <c r="AF8" s="64"/>
      <c r="AG8" s="65" t="str">
        <f t="shared" ref="AG8" si="0">IF(ISERROR(DATEDIF((DATEVALUE(LEFT(C8,2)&amp;"-"&amp;MID(C8,3,2)&amp;"-"&amp;MID(C8,5,2))),$W$2,"y")),"",DATEDIF((DATEVALUE(LEFT(C8,2)&amp;"-"&amp;MID(C8,3,2)&amp;"-"&amp;MID(C8,5,2))),$W$2,"y"))</f>
        <v/>
      </c>
      <c r="AH8" s="5">
        <v>1</v>
      </c>
      <c r="AI8" s="21">
        <f t="shared" ref="AI8:AI45" si="1">AI7</f>
        <v>1</v>
      </c>
      <c r="AJ8" s="19"/>
      <c r="AK8" s="19"/>
      <c r="AL8" s="19"/>
      <c r="AM8" s="20"/>
      <c r="AN8" s="20"/>
    </row>
    <row r="9" spans="1:40" ht="24.95" customHeight="1" x14ac:dyDescent="0.3">
      <c r="A9" s="66"/>
      <c r="B9" s="67"/>
      <c r="C9" s="45"/>
      <c r="D9" s="70"/>
      <c r="E9" s="71"/>
      <c r="F9" s="14"/>
      <c r="G9" s="14"/>
      <c r="H9" s="14"/>
      <c r="I9" s="14"/>
      <c r="J9" s="14">
        <v>1</v>
      </c>
      <c r="K9" s="14"/>
      <c r="L9" s="14"/>
      <c r="M9" s="14"/>
      <c r="N9" s="14"/>
      <c r="O9" s="14"/>
      <c r="P9" s="14"/>
      <c r="Q9" s="14"/>
      <c r="R9" s="14"/>
      <c r="S9" s="14"/>
      <c r="T9" s="14"/>
      <c r="U9" s="14"/>
      <c r="V9" s="73"/>
      <c r="W9" s="75"/>
      <c r="X9" s="59"/>
      <c r="Y9" s="16">
        <f>IF((F9*W8)&gt;=150000,(F9*W8)-150000,0)+IF((G9*W8)&gt;=150000,(G9*W8)-150000,0)+IF((H9*W8)&gt;=150000,(H9*W8)-150000,0)+IF((I9*W8)&gt;=150000,(I9*W8)-150000,0)+IF((J9*W8)&gt;=150000,(J9*W8)-150000,0)+IF((K9*W8)&gt;=150000,(K9*W8)-150000,0)+IF((L9*W8)&gt;=150000,(L9*W8)-150000,0)+IF((M9*W8)&gt;=150000,(M9*W8)-150000,0)+IF((N9*W8)&gt;=150000,(N9*W8)-150000,0)+IF((O9*W8)&gt;=150000,(O9*W8)-150000,0)+IF((P9*W8)&gt;=150000,(P9*W8)-150000,0)+IF((Q9*W8)&gt;=150000,(Q9*W8)-150000,0)+IF((R9*W8)&gt;=150000,(R9*W8)-150000,0)+IF((S9*W8)&gt;=150000,(S9*W8)-150000,0)+IF((T9*W8)&gt;=150000,(T9*W8)-150000,0)+IF((U9*W8)&gt;=150000,(U9*W8)-150000,0)</f>
        <v>50000</v>
      </c>
      <c r="Z9" s="60"/>
      <c r="AA9" s="17">
        <f>ROUNDDOWN(AA8*10%,-1)</f>
        <v>130</v>
      </c>
      <c r="AB9" s="18">
        <f>IF(V8&lt;8,0,(TRUNC(X8*3.545%,-1)))</f>
        <v>0</v>
      </c>
      <c r="AC9" s="18">
        <f>TRUNC(((AB9*12.95%)),-1)</f>
        <v>0</v>
      </c>
      <c r="AD9" s="61"/>
      <c r="AE9" s="63"/>
      <c r="AF9" s="64"/>
      <c r="AG9" s="65"/>
      <c r="AH9" s="5">
        <v>2</v>
      </c>
      <c r="AI9" s="21">
        <f t="shared" si="1"/>
        <v>1</v>
      </c>
      <c r="AJ9" s="19"/>
      <c r="AK9" s="19"/>
      <c r="AL9" s="19"/>
      <c r="AM9" s="20"/>
      <c r="AN9" s="20"/>
    </row>
    <row r="10" spans="1:40" ht="24.95" customHeight="1" x14ac:dyDescent="0.15">
      <c r="A10" s="55">
        <f>IF(B10&gt;0,A8+1,"")</f>
        <v>3</v>
      </c>
      <c r="B10" s="67" t="s">
        <v>54</v>
      </c>
      <c r="C10" s="44"/>
      <c r="D10" s="68"/>
      <c r="E10" s="69"/>
      <c r="F10" s="14"/>
      <c r="G10" s="14"/>
      <c r="H10" s="14"/>
      <c r="I10" s="14"/>
      <c r="J10" s="14"/>
      <c r="K10" s="14"/>
      <c r="L10" s="14"/>
      <c r="M10" s="14"/>
      <c r="N10" s="14"/>
      <c r="O10" s="14"/>
      <c r="P10" s="14"/>
      <c r="Q10" s="14"/>
      <c r="R10" s="14"/>
      <c r="S10" s="14"/>
      <c r="T10" s="14"/>
      <c r="U10" s="15"/>
      <c r="V10" s="72">
        <f>SUM(F10:U11)</f>
        <v>2</v>
      </c>
      <c r="W10" s="74">
        <v>200000</v>
      </c>
      <c r="X10" s="58">
        <f>V10*W10</f>
        <v>400000</v>
      </c>
      <c r="Y10" s="16">
        <f>IF((F10*W10)&gt;=150000,(F10*W10)-150000,0)+IF((G10*W10)&gt;=150000,(G10*W10)-150000,0)+IF((H10*W10)&gt;=150000,(H10*W10)-150000,0)+IF((I10*W10)&gt;=150000,(I10*W10)-150000,0)+IF((J10*W10)&gt;=150000,(J10*W10)-150000,0)+IF((K10*W10)&gt;=150000,(K10*W10)-150000,0)+IF((L10*W10)&gt;=150000,(L10*W10)-150000,0)+IF((M10*W10)&gt;=150000,(M10*W10)-150000,0)+IF((N10*W10)&gt;=150000,(N10*W10)-150000,0)+IF((O10*W10)&gt;=150000,(O10*W10)-150000,0)+IF((P10*W10)&gt;=150000,(P10*W10)-150000,0)+IF((Q10*W10)&gt;=150000,(Q10*W10)-150000,0)+IF((R10*W10)&gt;=150000,(R10*W10)-150000,0)+IF((S10*W10)&gt;=150000,(S10*W10)-150000,0)+IF((T10*W10)&gt;=150000,(T10*W10)-150000,0)</f>
        <v>0</v>
      </c>
      <c r="Z10" s="60">
        <f>+Y10+Y11</f>
        <v>100000</v>
      </c>
      <c r="AA10" s="17">
        <f>IF((ROUNDDOWN((+Z10*6%)*45%,-1))&gt;=1000,(ROUNDDOWN((+Z10*6%)*45%,-1)),0)</f>
        <v>2700</v>
      </c>
      <c r="AB10" s="18">
        <f>IFERROR(IF(DATEDIF(DATE(MID(C10,1,2),MID(C10,3,2),MID(C10,5,2)),$W$2,"y")&gt;=60,0,IF(OR(V10&gt;=8,X10&gt;=2200000),TRUNC(X10*4.5%,-1),0)),0)</f>
        <v>0</v>
      </c>
      <c r="AC10" s="18">
        <f>IFERROR(IF(AND((DATEDIF(TEXT(LEFT(C10,6),"00-00-00"),$W$2,"Y")&gt;19),(DATEDIF(TEXT(LEFT(C10,6),"00-00-00"),$W$2,"Y")&lt;65)),TRUNC(X10*0.9%,-1),0),0)</f>
        <v>0</v>
      </c>
      <c r="AD10" s="61">
        <f>SUM(AA10:AC11)</f>
        <v>2970</v>
      </c>
      <c r="AE10" s="62">
        <f>+X10-AD10</f>
        <v>397030</v>
      </c>
      <c r="AF10" s="64"/>
      <c r="AG10" s="65" t="str">
        <f t="shared" ref="AG10" si="2">IF(ISERROR(DATEDIF((DATEVALUE(LEFT(C10,2)&amp;"-"&amp;MID(C10,3,2)&amp;"-"&amp;MID(C10,5,2))),$W$2,"y")),"",DATEDIF((DATEVALUE(LEFT(C10,2)&amp;"-"&amp;MID(C10,3,2)&amp;"-"&amp;MID(C10,5,2))),$W$2,"y"))</f>
        <v/>
      </c>
      <c r="AH10" s="5">
        <v>1</v>
      </c>
      <c r="AI10" s="21">
        <f t="shared" si="1"/>
        <v>1</v>
      </c>
      <c r="AJ10" s="19"/>
      <c r="AK10" s="19"/>
      <c r="AL10" s="19"/>
      <c r="AM10" s="20"/>
      <c r="AN10" s="20"/>
    </row>
    <row r="11" spans="1:40" ht="24.95" customHeight="1" x14ac:dyDescent="0.3">
      <c r="A11" s="66"/>
      <c r="B11" s="67"/>
      <c r="C11" s="45"/>
      <c r="D11" s="70"/>
      <c r="E11" s="71"/>
      <c r="F11" s="14"/>
      <c r="G11" s="14"/>
      <c r="H11" s="14"/>
      <c r="I11" s="14"/>
      <c r="J11" s="14">
        <v>1</v>
      </c>
      <c r="K11" s="14"/>
      <c r="L11" s="14"/>
      <c r="M11" s="14"/>
      <c r="N11" s="14"/>
      <c r="O11" s="14"/>
      <c r="P11" s="14">
        <v>1</v>
      </c>
      <c r="Q11" s="14"/>
      <c r="R11" s="14"/>
      <c r="S11" s="14"/>
      <c r="T11" s="14"/>
      <c r="U11" s="14"/>
      <c r="V11" s="73"/>
      <c r="W11" s="75"/>
      <c r="X11" s="59"/>
      <c r="Y11" s="16">
        <f>IF((F11*W10)&gt;=150000,(F11*W10)-150000,0)+IF((G11*W10)&gt;=150000,(G11*W10)-150000,0)+IF((H11*W10)&gt;=150000,(H11*W10)-150000,0)+IF((I11*W10)&gt;=150000,(I11*W10)-150000,0)+IF((J11*W10)&gt;=150000,(J11*W10)-150000,0)+IF((K11*W10)&gt;=150000,(K11*W10)-150000,0)+IF((L11*W10)&gt;=150000,(L11*W10)-150000,0)+IF((M11*W10)&gt;=150000,(M11*W10)-150000,0)+IF((N11*W10)&gt;=150000,(N11*W10)-150000,0)+IF((O11*W10)&gt;=150000,(O11*W10)-150000,0)+IF((P11*W10)&gt;=150000,(P11*W10)-150000,0)+IF((Q11*W10)&gt;=150000,(Q11*W10)-150000,0)+IF((R11*W10)&gt;=150000,(R11*W10)-150000,0)+IF((S11*W10)&gt;=150000,(S11*W10)-150000,0)+IF((T11*W10)&gt;=150000,(T11*W10)-150000,0)+IF((U11*W10)&gt;=150000,(U11*W10)-150000,0)</f>
        <v>100000</v>
      </c>
      <c r="Z11" s="60"/>
      <c r="AA11" s="17">
        <f>ROUNDDOWN(AA10*10%,-1)</f>
        <v>270</v>
      </c>
      <c r="AB11" s="18">
        <f>IF(V10&lt;8,0,(TRUNC(X10*3.545%,-1)))</f>
        <v>0</v>
      </c>
      <c r="AC11" s="18">
        <f>TRUNC(((AB11*12.95%)),-1)</f>
        <v>0</v>
      </c>
      <c r="AD11" s="61"/>
      <c r="AE11" s="63"/>
      <c r="AF11" s="64"/>
      <c r="AG11" s="65"/>
      <c r="AH11" s="5">
        <v>2</v>
      </c>
      <c r="AI11" s="21">
        <f t="shared" si="1"/>
        <v>1</v>
      </c>
      <c r="AJ11" s="19"/>
      <c r="AK11" s="19"/>
      <c r="AL11" s="19"/>
      <c r="AM11" s="20"/>
      <c r="AN11" s="20"/>
    </row>
    <row r="12" spans="1:40" ht="24.95" customHeight="1" x14ac:dyDescent="0.15">
      <c r="A12" s="55">
        <f>IF(B12&gt;0,A10+1,"")</f>
        <v>4</v>
      </c>
      <c r="B12" s="67" t="s">
        <v>55</v>
      </c>
      <c r="C12" s="44"/>
      <c r="D12" s="68"/>
      <c r="E12" s="69"/>
      <c r="F12" s="14"/>
      <c r="G12" s="14"/>
      <c r="H12" s="14"/>
      <c r="I12" s="14"/>
      <c r="J12" s="14"/>
      <c r="K12" s="14"/>
      <c r="L12" s="14"/>
      <c r="M12" s="14"/>
      <c r="N12" s="14"/>
      <c r="O12" s="14"/>
      <c r="P12" s="14"/>
      <c r="Q12" s="14"/>
      <c r="R12" s="14"/>
      <c r="S12" s="14"/>
      <c r="T12" s="14"/>
      <c r="U12" s="15"/>
      <c r="V12" s="72">
        <f>SUM(F12:U13)</f>
        <v>2</v>
      </c>
      <c r="W12" s="74">
        <v>250000</v>
      </c>
      <c r="X12" s="58">
        <f>V12*W12</f>
        <v>500000</v>
      </c>
      <c r="Y12" s="46">
        <f>IF((F12*W12)&gt;=150000,(F12*W12)-150000,0)+IF((G12*W12)&gt;=150000,(G12*W12)-150000,0)+IF((H12*W12)&gt;=150000,(H12*W12)-150000,0)+IF((I12*W12)&gt;=150000,(I12*W12)-150000,0)+IF((J12*W12)&gt;=150000,(J12*W12)-150000,0)+IF((K12*W12)&gt;=150000,(K12*W12)-150000,0)+IF((L12*W12)&gt;=150000,(L12*W12)-150000,0)+IF((M12*W12)&gt;=150000,(M12*W12)-150000,0)+IF((N12*W12)&gt;=150000,(N12*W12)-150000,0)+IF((O12*W12)&gt;=150000,(O12*W12)-150000,0)+IF((P12*W12)&gt;=150000,(P12*W12)-150000,0)+IF((Q12*W12)&gt;=150000,(Q12*W12)-150000,0)+IF((R12*W12)&gt;=150000,(R12*W12)-150000,0)+IF((S12*W12)&gt;=150000,(S12*W12)-150000,0)+IF((T12*W12)&gt;=150000,(T12*W12)-150000,0)</f>
        <v>0</v>
      </c>
      <c r="Z12" s="60">
        <f>+Y12+Y13</f>
        <v>200000</v>
      </c>
      <c r="AA12" s="47">
        <f>IF((ROUNDDOWN((+Z12*6%)*45%,-1))&gt;=1000,(ROUNDDOWN((+Z12*6%)*45%,-1)),0)</f>
        <v>5400</v>
      </c>
      <c r="AB12" s="18">
        <f>IFERROR(IF(DATEDIF(DATE(MID(C12,1,2),MID(C12,3,2),MID(C12,5,2)),$W$2,"y")&gt;=60,0,IF(OR(V12&gt;=8,X12&gt;=2200000),TRUNC(X12*4.5%,-1),0)),0)</f>
        <v>0</v>
      </c>
      <c r="AC12" s="18">
        <f>IFERROR(IF(AND((DATEDIF(TEXT(LEFT(C12,6),"00-00-00"),$W$2,"Y")&gt;19),(DATEDIF(TEXT(LEFT(C12,6),"00-00-00"),$W$2,"Y")&lt;65)),TRUNC(X12*0.9%,-1),0),0)</f>
        <v>0</v>
      </c>
      <c r="AD12" s="61">
        <f>SUM(AA12:AC13)</f>
        <v>5940</v>
      </c>
      <c r="AE12" s="62">
        <f>+X12-AD12</f>
        <v>494060</v>
      </c>
      <c r="AF12" s="64"/>
      <c r="AG12" s="65" t="str">
        <f t="shared" ref="AG12" si="3">IF(ISERROR(DATEDIF((DATEVALUE(LEFT(C12,2)&amp;"-"&amp;MID(C12,3,2)&amp;"-"&amp;MID(C12,5,2))),$W$2,"y")),"",DATEDIF((DATEVALUE(LEFT(C12,2)&amp;"-"&amp;MID(C12,3,2)&amp;"-"&amp;MID(C12,5,2))),$W$2,"y"))</f>
        <v/>
      </c>
      <c r="AH12" s="5">
        <v>1</v>
      </c>
      <c r="AI12" s="21">
        <f t="shared" si="1"/>
        <v>1</v>
      </c>
      <c r="AJ12" s="19"/>
      <c r="AK12" s="19"/>
      <c r="AL12" s="19"/>
      <c r="AM12" s="20"/>
      <c r="AN12" s="20"/>
    </row>
    <row r="13" spans="1:40" ht="24.95" customHeight="1" x14ac:dyDescent="0.3">
      <c r="A13" s="66"/>
      <c r="B13" s="67"/>
      <c r="C13" s="45"/>
      <c r="D13" s="70"/>
      <c r="E13" s="71"/>
      <c r="F13" s="14">
        <v>1</v>
      </c>
      <c r="G13" s="14">
        <v>1</v>
      </c>
      <c r="H13" s="14"/>
      <c r="I13" s="14"/>
      <c r="J13" s="14"/>
      <c r="K13" s="14"/>
      <c r="L13" s="14"/>
      <c r="M13" s="14"/>
      <c r="N13" s="14"/>
      <c r="O13" s="14"/>
      <c r="P13" s="14"/>
      <c r="Q13" s="14"/>
      <c r="R13" s="14"/>
      <c r="S13" s="14"/>
      <c r="T13" s="14"/>
      <c r="U13" s="14"/>
      <c r="V13" s="73"/>
      <c r="W13" s="75"/>
      <c r="X13" s="59"/>
      <c r="Y13" s="46">
        <f>IF((F13*W12)&gt;=150000,(F13*W12)-150000,0)+IF((G13*W12)&gt;=150000,(G13*W12)-150000,0)+IF((H13*W12)&gt;=150000,(H13*W12)-150000,0)+IF((I13*W12)&gt;=150000,(I13*W12)-150000,0)+IF((J13*W12)&gt;=150000,(J13*W12)-150000,0)+IF((K13*W12)&gt;=150000,(K13*W12)-150000,0)+IF((L13*W12)&gt;=150000,(L13*W12)-150000,0)+IF((M13*W12)&gt;=150000,(M13*W12)-150000,0)+IF((N13*W12)&gt;=150000,(N13*W12)-150000,0)+IF((O13*W12)&gt;=150000,(O13*W12)-150000,0)+IF((P13*W12)&gt;=150000,(P13*W12)-150000,0)+IF((Q13*W12)&gt;=150000,(Q13*W12)-150000,0)+IF((R13*W12)&gt;=150000,(R13*W12)-150000,0)+IF((S13*W12)&gt;=150000,(S13*W12)-150000,0)+IF((T13*W12)&gt;=150000,(T13*W12)-150000,0)+IF((U13*W12)&gt;=150000,(U13*W12)-150000,0)</f>
        <v>200000</v>
      </c>
      <c r="Z13" s="60"/>
      <c r="AA13" s="47">
        <f>ROUNDDOWN(AA12*10%,-1)</f>
        <v>540</v>
      </c>
      <c r="AB13" s="18">
        <f>IF(V12&lt;8,0,(TRUNC(X12*3.545%,-1)))</f>
        <v>0</v>
      </c>
      <c r="AC13" s="18">
        <f>TRUNC(((AB13*12.95%)),-1)</f>
        <v>0</v>
      </c>
      <c r="AD13" s="61"/>
      <c r="AE13" s="63"/>
      <c r="AF13" s="64"/>
      <c r="AG13" s="65"/>
      <c r="AH13" s="5">
        <v>2</v>
      </c>
      <c r="AI13" s="21">
        <f t="shared" si="1"/>
        <v>1</v>
      </c>
      <c r="AJ13" s="19"/>
      <c r="AK13" s="19"/>
      <c r="AL13" s="19"/>
      <c r="AM13" s="20"/>
      <c r="AN13" s="20"/>
    </row>
    <row r="14" spans="1:40" ht="24.95" customHeight="1" x14ac:dyDescent="0.15">
      <c r="A14" s="55">
        <f>IF(B14&gt;0,A12+1,"")</f>
        <v>5</v>
      </c>
      <c r="B14" s="67" t="s">
        <v>56</v>
      </c>
      <c r="C14" s="44"/>
      <c r="D14" s="68"/>
      <c r="E14" s="69"/>
      <c r="F14" s="14"/>
      <c r="G14" s="14"/>
      <c r="H14" s="14">
        <v>1</v>
      </c>
      <c r="I14" s="14">
        <v>1</v>
      </c>
      <c r="J14" s="14">
        <v>1</v>
      </c>
      <c r="K14" s="14">
        <v>1</v>
      </c>
      <c r="L14" s="14">
        <v>1</v>
      </c>
      <c r="M14" s="14"/>
      <c r="N14" s="14">
        <v>1</v>
      </c>
      <c r="O14" s="14">
        <v>1</v>
      </c>
      <c r="P14" s="14">
        <v>1</v>
      </c>
      <c r="Q14" s="14">
        <v>1</v>
      </c>
      <c r="R14" s="14">
        <v>1</v>
      </c>
      <c r="S14" s="14">
        <v>1</v>
      </c>
      <c r="T14" s="14"/>
      <c r="U14" s="15"/>
      <c r="V14" s="72">
        <f>SUM(F14:U15)</f>
        <v>24</v>
      </c>
      <c r="W14" s="74">
        <v>120000</v>
      </c>
      <c r="X14" s="58">
        <f>V14*W14</f>
        <v>2880000</v>
      </c>
      <c r="Y14" s="46">
        <f>IF((F14*W14)&gt;=150000,(F14*W14)-150000,0)+IF((G14*W14)&gt;=150000,(G14*W14)-150000,0)+IF((H14*W14)&gt;=150000,(H14*W14)-150000,0)+IF((I14*W14)&gt;=150000,(I14*W14)-150000,0)+IF((J14*W14)&gt;=150000,(J14*W14)-150000,0)+IF((K14*W14)&gt;=150000,(K14*W14)-150000,0)+IF((L14*W14)&gt;=150000,(L14*W14)-150000,0)+IF((M14*W14)&gt;=150000,(M14*W14)-150000,0)+IF((N14*W14)&gt;=150000,(N14*W14)-150000,0)+IF((O14*W14)&gt;=150000,(O14*W14)-150000,0)+IF((P14*W14)&gt;=150000,(P14*W14)-150000,0)+IF((Q14*W14)&gt;=150000,(Q14*W14)-150000,0)+IF((R14*W14)&gt;=150000,(R14*W14)-150000,0)+IF((S14*W14)&gt;=150000,(S14*W14)-150000,0)+IF((T14*W14)&gt;=150000,(T14*W14)-150000,0)</f>
        <v>0</v>
      </c>
      <c r="Z14" s="60">
        <f>+Y14+Y15</f>
        <v>0</v>
      </c>
      <c r="AA14" s="47">
        <f>IF((ROUNDDOWN((+Z14*6%)*45%,-1))&gt;=1000,(ROUNDDOWN((+Z14*6%)*45%,-1)),0)</f>
        <v>0</v>
      </c>
      <c r="AB14" s="18">
        <f>IFERROR(IF(DATEDIF(DATE(MID(C14,1,2),MID(C14,3,2),MID(C14,5,2)),$W$2,"y")&gt;=60,0,IF(OR(V14&gt;=8,X14&gt;=2200000),TRUNC(X14*4.5%,-1),0)),0)</f>
        <v>0</v>
      </c>
      <c r="AC14" s="18">
        <f>IFERROR(IF(AND((DATEDIF(TEXT(LEFT(C14,6),"00-00-00"),$W$2,"Y")&gt;19),(DATEDIF(TEXT(LEFT(C14,6),"00-00-00"),$W$2,"Y")&lt;65)),TRUNC(X14*0.9%,-1),0),0)</f>
        <v>0</v>
      </c>
      <c r="AD14" s="61">
        <f>SUM(AA14:AC15)</f>
        <v>115310</v>
      </c>
      <c r="AE14" s="62">
        <f>+X14-AD14</f>
        <v>2764690</v>
      </c>
      <c r="AF14" s="64"/>
      <c r="AG14" s="65" t="str">
        <f t="shared" ref="AG14" si="4">IF(ISERROR(DATEDIF((DATEVALUE(LEFT(C14,2)&amp;"-"&amp;MID(C14,3,2)&amp;"-"&amp;MID(C14,5,2))),$W$2,"y")),"",DATEDIF((DATEVALUE(LEFT(C14,2)&amp;"-"&amp;MID(C14,3,2)&amp;"-"&amp;MID(C14,5,2))),$W$2,"y"))</f>
        <v/>
      </c>
      <c r="AH14" s="5">
        <v>1</v>
      </c>
      <c r="AI14" s="21">
        <f t="shared" si="1"/>
        <v>1</v>
      </c>
      <c r="AJ14" s="19"/>
      <c r="AK14" s="19"/>
      <c r="AL14" s="19"/>
      <c r="AM14" s="20"/>
      <c r="AN14" s="20"/>
    </row>
    <row r="15" spans="1:40" ht="24.95" customHeight="1" x14ac:dyDescent="0.3">
      <c r="A15" s="66"/>
      <c r="B15" s="67"/>
      <c r="C15" s="45"/>
      <c r="D15" s="70"/>
      <c r="E15" s="71"/>
      <c r="F15" s="14">
        <v>1</v>
      </c>
      <c r="G15" s="14">
        <v>1</v>
      </c>
      <c r="H15" s="14">
        <v>1</v>
      </c>
      <c r="I15" s="14">
        <v>1</v>
      </c>
      <c r="J15" s="14">
        <v>1</v>
      </c>
      <c r="K15" s="14">
        <v>1</v>
      </c>
      <c r="L15" s="14"/>
      <c r="M15" s="14">
        <v>1</v>
      </c>
      <c r="N15" s="14">
        <v>1</v>
      </c>
      <c r="O15" s="14">
        <v>1</v>
      </c>
      <c r="P15" s="14">
        <v>1</v>
      </c>
      <c r="Q15" s="14">
        <v>1</v>
      </c>
      <c r="R15" s="14">
        <v>1</v>
      </c>
      <c r="S15" s="14"/>
      <c r="T15" s="14">
        <v>1</v>
      </c>
      <c r="U15" s="14"/>
      <c r="V15" s="73"/>
      <c r="W15" s="75"/>
      <c r="X15" s="59"/>
      <c r="Y15" s="46">
        <f>IF((F15*W14)&gt;=150000,(F15*W14)-150000,0)+IF((G15*W14)&gt;=150000,(G15*W14)-150000,0)+IF((H15*W14)&gt;=150000,(H15*W14)-150000,0)+IF((I15*W14)&gt;=150000,(I15*W14)-150000,0)+IF((J15*W14)&gt;=150000,(J15*W14)-150000,0)+IF((K15*W14)&gt;=150000,(K15*W14)-150000,0)+IF((L15*W14)&gt;=150000,(L15*W14)-150000,0)+IF((M15*W14)&gt;=150000,(M15*W14)-150000,0)+IF((N15*W14)&gt;=150000,(N15*W14)-150000,0)+IF((O15*W14)&gt;=150000,(O15*W14)-150000,0)+IF((P15*W14)&gt;=150000,(P15*W14)-150000,0)+IF((Q15*W14)&gt;=150000,(Q15*W14)-150000,0)+IF((R15*W14)&gt;=150000,(R15*W14)-150000,0)+IF((S15*W14)&gt;=150000,(S15*W14)-150000,0)+IF((T15*W14)&gt;=150000,(T15*W14)-150000,0)+IF((U15*W14)&gt;=150000,(U15*W14)-150000,0)</f>
        <v>0</v>
      </c>
      <c r="Z15" s="60"/>
      <c r="AA15" s="47">
        <f>ROUNDDOWN(AA14*10%,-1)</f>
        <v>0</v>
      </c>
      <c r="AB15" s="18">
        <f>IF(V14&lt;8,0,(TRUNC(X14*3.545%,-1)))</f>
        <v>102090</v>
      </c>
      <c r="AC15" s="18">
        <f>TRUNC(((AB15*12.95%)),-1)</f>
        <v>13220</v>
      </c>
      <c r="AD15" s="61"/>
      <c r="AE15" s="63"/>
      <c r="AF15" s="64"/>
      <c r="AG15" s="65"/>
      <c r="AH15" s="5">
        <v>2</v>
      </c>
      <c r="AI15" s="21">
        <f t="shared" si="1"/>
        <v>1</v>
      </c>
      <c r="AJ15" s="19"/>
      <c r="AK15" s="19"/>
      <c r="AL15" s="19"/>
      <c r="AM15" s="20"/>
      <c r="AN15" s="20"/>
    </row>
    <row r="16" spans="1:40" ht="24.95" customHeight="1" x14ac:dyDescent="0.15">
      <c r="A16" s="55">
        <f>IF(B16&gt;0,A14+1,"")</f>
        <v>6</v>
      </c>
      <c r="B16" s="67" t="s">
        <v>57</v>
      </c>
      <c r="C16" s="44"/>
      <c r="D16" s="68"/>
      <c r="E16" s="69"/>
      <c r="F16" s="14"/>
      <c r="G16" s="14"/>
      <c r="H16" s="14">
        <v>1</v>
      </c>
      <c r="I16" s="14">
        <v>1</v>
      </c>
      <c r="J16" s="14">
        <v>1</v>
      </c>
      <c r="K16" s="14">
        <v>1</v>
      </c>
      <c r="L16" s="14">
        <v>1</v>
      </c>
      <c r="M16" s="14"/>
      <c r="N16" s="14">
        <v>1</v>
      </c>
      <c r="O16" s="14">
        <v>1</v>
      </c>
      <c r="P16" s="14">
        <v>1</v>
      </c>
      <c r="Q16" s="14">
        <v>1</v>
      </c>
      <c r="R16" s="14">
        <v>1</v>
      </c>
      <c r="S16" s="14"/>
      <c r="T16" s="14"/>
      <c r="U16" s="15"/>
      <c r="V16" s="72">
        <f>SUM(F16:U17)</f>
        <v>23</v>
      </c>
      <c r="W16" s="74">
        <v>150000</v>
      </c>
      <c r="X16" s="58">
        <f>V16*W16</f>
        <v>3450000</v>
      </c>
      <c r="Y16" s="46">
        <f>IF((F16*W16)&gt;=150000,(F16*W16)-150000,0)+IF((G16*W16)&gt;=150000,(G16*W16)-150000,0)+IF((H16*W16)&gt;=150000,(H16*W16)-150000,0)+IF((I16*W16)&gt;=150000,(I16*W16)-150000,0)+IF((J16*W16)&gt;=150000,(J16*W16)-150000,0)+IF((K16*W16)&gt;=150000,(K16*W16)-150000,0)+IF((L16*W16)&gt;=150000,(L16*W16)-150000,0)+IF((M16*W16)&gt;=150000,(M16*W16)-150000,0)+IF((N16*W16)&gt;=150000,(N16*W16)-150000,0)+IF((O16*W16)&gt;=150000,(O16*W16)-150000,0)+IF((P16*W16)&gt;=150000,(P16*W16)-150000,0)+IF((Q16*W16)&gt;=150000,(Q16*W16)-150000,0)+IF((R16*W16)&gt;=150000,(R16*W16)-150000,0)+IF((S16*W16)&gt;=150000,(S16*W16)-150000,0)+IF((T16*W16)&gt;=150000,(T16*W16)-150000,0)</f>
        <v>0</v>
      </c>
      <c r="Z16" s="60">
        <f>+Y16+Y17</f>
        <v>0</v>
      </c>
      <c r="AA16" s="47">
        <f>IF((ROUNDDOWN((+Z16*6%)*45%,-1))&gt;=1000,(ROUNDDOWN((+Z16*6%)*45%,-1)),0)</f>
        <v>0</v>
      </c>
      <c r="AB16" s="18">
        <f>IFERROR(IF(DATEDIF(DATE(MID(C16,1,2),MID(C16,3,2),MID(C16,5,2)),$W$2,"y")&gt;=60,0,IF(OR(V16&gt;=8,X16&gt;=2200000),TRUNC(X16*4.5%,-1),0)),0)</f>
        <v>0</v>
      </c>
      <c r="AC16" s="18">
        <f>IFERROR(IF(AND((DATEDIF(TEXT(LEFT(C16,6),"00-00-00"),$W$2,"Y")&gt;19),(DATEDIF(TEXT(LEFT(C16,6),"00-00-00"),$W$2,"Y")&lt;65)),TRUNC(X16*0.9%,-1),0),0)</f>
        <v>0</v>
      </c>
      <c r="AD16" s="61">
        <f>SUM(AA16:AC17)</f>
        <v>138130</v>
      </c>
      <c r="AE16" s="62">
        <f>+X16-AD16</f>
        <v>3311870</v>
      </c>
      <c r="AF16" s="64"/>
      <c r="AG16" s="65" t="str">
        <f t="shared" ref="AG16" si="5">IF(ISERROR(DATEDIF((DATEVALUE(LEFT(C16,2)&amp;"-"&amp;MID(C16,3,2)&amp;"-"&amp;MID(C16,5,2))),$W$2,"y")),"",DATEDIF((DATEVALUE(LEFT(C16,2)&amp;"-"&amp;MID(C16,3,2)&amp;"-"&amp;MID(C16,5,2))),$W$2,"y"))</f>
        <v/>
      </c>
      <c r="AH16" s="5">
        <v>1</v>
      </c>
      <c r="AI16" s="21">
        <f t="shared" si="1"/>
        <v>1</v>
      </c>
      <c r="AJ16" s="19"/>
      <c r="AK16" s="19"/>
      <c r="AL16" s="19"/>
      <c r="AM16" s="20"/>
      <c r="AN16" s="20"/>
    </row>
    <row r="17" spans="1:40" ht="24.95" customHeight="1" x14ac:dyDescent="0.3">
      <c r="A17" s="66"/>
      <c r="B17" s="67"/>
      <c r="C17" s="45"/>
      <c r="D17" s="70"/>
      <c r="E17" s="71"/>
      <c r="F17" s="14">
        <v>1</v>
      </c>
      <c r="G17" s="14">
        <v>1</v>
      </c>
      <c r="H17" s="14">
        <v>1</v>
      </c>
      <c r="I17" s="14">
        <v>1</v>
      </c>
      <c r="J17" s="14">
        <v>1</v>
      </c>
      <c r="K17" s="14">
        <v>1</v>
      </c>
      <c r="L17" s="14"/>
      <c r="M17" s="14">
        <v>1</v>
      </c>
      <c r="N17" s="14">
        <v>1</v>
      </c>
      <c r="O17" s="14">
        <v>1</v>
      </c>
      <c r="P17" s="14">
        <v>1</v>
      </c>
      <c r="Q17" s="14">
        <v>1</v>
      </c>
      <c r="R17" s="14">
        <v>1</v>
      </c>
      <c r="S17" s="14"/>
      <c r="T17" s="14">
        <v>1</v>
      </c>
      <c r="U17" s="14"/>
      <c r="V17" s="73"/>
      <c r="W17" s="75"/>
      <c r="X17" s="59"/>
      <c r="Y17" s="46">
        <f>IF((F17*W16)&gt;=150000,(F17*W16)-150000,0)+IF((G17*W16)&gt;=150000,(G17*W16)-150000,0)+IF((H17*W16)&gt;=150000,(H17*W16)-150000,0)+IF((I17*W16)&gt;=150000,(I17*W16)-150000,0)+IF((J17*W16)&gt;=150000,(J17*W16)-150000,0)+IF((K17*W16)&gt;=150000,(K17*W16)-150000,0)+IF((L17*W16)&gt;=150000,(L17*W16)-150000,0)+IF((M17*W16)&gt;=150000,(M17*W16)-150000,0)+IF((N17*W16)&gt;=150000,(N17*W16)-150000,0)+IF((O17*W16)&gt;=150000,(O17*W16)-150000,0)+IF((P17*W16)&gt;=150000,(P17*W16)-150000,0)+IF((Q17*W16)&gt;=150000,(Q17*W16)-150000,0)+IF((R17*W16)&gt;=150000,(R17*W16)-150000,0)+IF((S17*W16)&gt;=150000,(S17*W16)-150000,0)+IF((T17*W16)&gt;=150000,(T17*W16)-150000,0)+IF((U17*W16)&gt;=150000,(U17*W16)-150000,0)</f>
        <v>0</v>
      </c>
      <c r="Z17" s="60"/>
      <c r="AA17" s="47">
        <f>ROUNDDOWN(AA16*10%,-1)</f>
        <v>0</v>
      </c>
      <c r="AB17" s="18">
        <f>IF(V16&lt;8,0,(TRUNC(X16*3.545%,-1)))</f>
        <v>122300</v>
      </c>
      <c r="AC17" s="18">
        <f>TRUNC(((AB17*12.95%)),-1)</f>
        <v>15830</v>
      </c>
      <c r="AD17" s="61"/>
      <c r="AE17" s="63"/>
      <c r="AF17" s="64"/>
      <c r="AG17" s="65"/>
      <c r="AH17" s="5">
        <v>2</v>
      </c>
      <c r="AI17" s="21">
        <f t="shared" si="1"/>
        <v>1</v>
      </c>
      <c r="AJ17" s="19"/>
      <c r="AK17" s="19"/>
      <c r="AL17" s="19"/>
      <c r="AM17" s="20"/>
      <c r="AN17" s="20"/>
    </row>
    <row r="18" spans="1:40" ht="24.95" customHeight="1" x14ac:dyDescent="0.15">
      <c r="A18" s="55">
        <f>IF(B18&gt;0,A16+1,"")</f>
        <v>7</v>
      </c>
      <c r="B18" s="67" t="s">
        <v>58</v>
      </c>
      <c r="C18" s="44"/>
      <c r="D18" s="68"/>
      <c r="E18" s="69"/>
      <c r="F18" s="14"/>
      <c r="G18" s="14"/>
      <c r="H18" s="14">
        <v>1</v>
      </c>
      <c r="I18" s="14"/>
      <c r="J18" s="14">
        <v>1</v>
      </c>
      <c r="K18" s="14">
        <v>1</v>
      </c>
      <c r="L18" s="14">
        <v>1</v>
      </c>
      <c r="M18" s="14"/>
      <c r="N18" s="14">
        <v>1</v>
      </c>
      <c r="O18" s="14">
        <v>1</v>
      </c>
      <c r="P18" s="14"/>
      <c r="Q18" s="14"/>
      <c r="R18" s="14">
        <v>1</v>
      </c>
      <c r="S18" s="14">
        <v>1</v>
      </c>
      <c r="T18" s="14"/>
      <c r="U18" s="15"/>
      <c r="V18" s="72">
        <f>SUM(F18:U19)</f>
        <v>16</v>
      </c>
      <c r="W18" s="74">
        <v>150000</v>
      </c>
      <c r="X18" s="58">
        <f>V18*W18</f>
        <v>2400000</v>
      </c>
      <c r="Y18" s="46">
        <f>IF((F18*W18)&gt;=150000,(F18*W18)-150000,0)+IF((G18*W18)&gt;=150000,(G18*W18)-150000,0)+IF((H18*W18)&gt;=150000,(H18*W18)-150000,0)+IF((I18*W18)&gt;=150000,(I18*W18)-150000,0)+IF((J18*W18)&gt;=150000,(J18*W18)-150000,0)+IF((K18*W18)&gt;=150000,(K18*W18)-150000,0)+IF((L18*W18)&gt;=150000,(L18*W18)-150000,0)+IF((M18*W18)&gt;=150000,(M18*W18)-150000,0)+IF((N18*W18)&gt;=150000,(N18*W18)-150000,0)+IF((O18*W18)&gt;=150000,(O18*W18)-150000,0)+IF((P18*W18)&gt;=150000,(P18*W18)-150000,0)+IF((Q18*W18)&gt;=150000,(Q18*W18)-150000,0)+IF((R18*W18)&gt;=150000,(R18*W18)-150000,0)+IF((S18*W18)&gt;=150000,(S18*W18)-150000,0)+IF((T18*W18)&gt;=150000,(T18*W18)-150000,0)</f>
        <v>0</v>
      </c>
      <c r="Z18" s="60">
        <f>+Y18+Y19</f>
        <v>0</v>
      </c>
      <c r="AA18" s="47">
        <f>IF((ROUNDDOWN((+Z18*6%)*45%,-1))&gt;=1000,(ROUNDDOWN((+Z18*6%)*45%,-1)),0)</f>
        <v>0</v>
      </c>
      <c r="AB18" s="18">
        <f>IFERROR(IF(DATEDIF(DATE(MID(C18,1,2),MID(C18,3,2),MID(C18,5,2)),$W$2,"y")&gt;=60,0,IF(OR(V18&gt;=8,X18&gt;=2200000),TRUNC(X18*4.5%,-1),0)),0)</f>
        <v>0</v>
      </c>
      <c r="AC18" s="18">
        <f>IFERROR(IF(AND((DATEDIF(TEXT(LEFT(C18,6),"00-00-00"),$W$2,"Y")&gt;19),(DATEDIF(TEXT(LEFT(C18,6),"00-00-00"),$W$2,"Y")&lt;65)),TRUNC(X18*0.9%,-1),0),0)</f>
        <v>0</v>
      </c>
      <c r="AD18" s="61">
        <f>SUM(AA18:AC19)</f>
        <v>96090</v>
      </c>
      <c r="AE18" s="62">
        <f>+X18-AD18</f>
        <v>2303910</v>
      </c>
      <c r="AF18" s="64"/>
      <c r="AG18" s="65" t="str">
        <f t="shared" ref="AG18" si="6">IF(ISERROR(DATEDIF((DATEVALUE(LEFT(C18,2)&amp;"-"&amp;MID(C18,3,2)&amp;"-"&amp;MID(C18,5,2))),$W$2,"y")),"",DATEDIF((DATEVALUE(LEFT(C18,2)&amp;"-"&amp;MID(C18,3,2)&amp;"-"&amp;MID(C18,5,2))),$W$2,"y"))</f>
        <v/>
      </c>
      <c r="AH18" s="5">
        <v>1</v>
      </c>
      <c r="AI18" s="21">
        <f t="shared" si="1"/>
        <v>1</v>
      </c>
      <c r="AJ18" s="19"/>
      <c r="AK18" s="19"/>
      <c r="AL18" s="19"/>
      <c r="AM18" s="20"/>
      <c r="AN18" s="20"/>
    </row>
    <row r="19" spans="1:40" ht="24.95" customHeight="1" x14ac:dyDescent="0.3">
      <c r="A19" s="66"/>
      <c r="B19" s="67"/>
      <c r="C19" s="45"/>
      <c r="D19" s="70"/>
      <c r="E19" s="71"/>
      <c r="F19" s="14">
        <v>1</v>
      </c>
      <c r="G19" s="14">
        <v>1</v>
      </c>
      <c r="H19" s="14">
        <v>1</v>
      </c>
      <c r="I19" s="14">
        <v>1</v>
      </c>
      <c r="J19" s="14">
        <v>1</v>
      </c>
      <c r="K19" s="14">
        <v>1</v>
      </c>
      <c r="L19" s="14"/>
      <c r="M19" s="14">
        <v>1</v>
      </c>
      <c r="N19" s="14">
        <v>1</v>
      </c>
      <c r="O19" s="14"/>
      <c r="P19" s="14"/>
      <c r="Q19" s="14"/>
      <c r="R19" s="14"/>
      <c r="S19" s="14"/>
      <c r="T19" s="14"/>
      <c r="U19" s="14"/>
      <c r="V19" s="73"/>
      <c r="W19" s="75"/>
      <c r="X19" s="59"/>
      <c r="Y19" s="46">
        <f>IF((F19*W18)&gt;=150000,(F19*W18)-150000,0)+IF((G19*W18)&gt;=150000,(G19*W18)-150000,0)+IF((H19*W18)&gt;=150000,(H19*W18)-150000,0)+IF((I19*W18)&gt;=150000,(I19*W18)-150000,0)+IF((J19*W18)&gt;=150000,(J19*W18)-150000,0)+IF((K19*W18)&gt;=150000,(K19*W18)-150000,0)+IF((L19*W18)&gt;=150000,(L19*W18)-150000,0)+IF((M19*W18)&gt;=150000,(M19*W18)-150000,0)+IF((N19*W18)&gt;=150000,(N19*W18)-150000,0)+IF((O19*W18)&gt;=150000,(O19*W18)-150000,0)+IF((P19*W18)&gt;=150000,(P19*W18)-150000,0)+IF((Q19*W18)&gt;=150000,(Q19*W18)-150000,0)+IF((R19*W18)&gt;=150000,(R19*W18)-150000,0)+IF((S19*W18)&gt;=150000,(S19*W18)-150000,0)+IF((T19*W18)&gt;=150000,(T19*W18)-150000,0)+IF((U19*W18)&gt;=150000,(U19*W18)-150000,0)</f>
        <v>0</v>
      </c>
      <c r="Z19" s="60"/>
      <c r="AA19" s="47">
        <f>ROUNDDOWN(AA18*10%,-1)</f>
        <v>0</v>
      </c>
      <c r="AB19" s="18">
        <f>IF(V18&lt;8,0,(TRUNC(X18*3.545%,-1)))</f>
        <v>85080</v>
      </c>
      <c r="AC19" s="18">
        <f>TRUNC(((AB19*12.95%)),-1)</f>
        <v>11010</v>
      </c>
      <c r="AD19" s="61"/>
      <c r="AE19" s="63"/>
      <c r="AF19" s="64"/>
      <c r="AG19" s="65"/>
      <c r="AH19" s="5">
        <v>2</v>
      </c>
      <c r="AI19" s="21">
        <f t="shared" si="1"/>
        <v>1</v>
      </c>
      <c r="AJ19" s="19"/>
      <c r="AK19" s="19"/>
      <c r="AL19" s="19"/>
      <c r="AM19" s="20"/>
      <c r="AN19" s="20"/>
    </row>
    <row r="20" spans="1:40" ht="24.95" customHeight="1" x14ac:dyDescent="0.15">
      <c r="A20" s="55">
        <f>IF(B20&gt;0,A18+1,"")</f>
        <v>8</v>
      </c>
      <c r="B20" s="67" t="s">
        <v>59</v>
      </c>
      <c r="C20" s="48"/>
      <c r="D20" s="68"/>
      <c r="E20" s="69"/>
      <c r="F20" s="14"/>
      <c r="G20" s="14"/>
      <c r="H20" s="14"/>
      <c r="I20" s="14"/>
      <c r="J20" s="14"/>
      <c r="K20" s="14"/>
      <c r="L20" s="14"/>
      <c r="M20" s="14"/>
      <c r="N20" s="14"/>
      <c r="O20" s="14"/>
      <c r="P20" s="14"/>
      <c r="Q20" s="14"/>
      <c r="R20" s="14"/>
      <c r="S20" s="14"/>
      <c r="T20" s="14"/>
      <c r="U20" s="15"/>
      <c r="V20" s="72">
        <f>SUM(F20:U21)</f>
        <v>8</v>
      </c>
      <c r="W20" s="74">
        <v>150000</v>
      </c>
      <c r="X20" s="58">
        <f>V20*W20</f>
        <v>1200000</v>
      </c>
      <c r="Y20" s="46">
        <f>IF((F20*W20)&gt;=150000,(F20*W20)-150000,0)+IF((G20*W20)&gt;=150000,(G20*W20)-150000,0)+IF((H20*W20)&gt;=150000,(H20*W20)-150000,0)+IF((I20*W20)&gt;=150000,(I20*W20)-150000,0)+IF((J20*W20)&gt;=150000,(J20*W20)-150000,0)+IF((K20*W20)&gt;=150000,(K20*W20)-150000,0)+IF((L20*W20)&gt;=150000,(L20*W20)-150000,0)+IF((M20*W20)&gt;=150000,(M20*W20)-150000,0)+IF((N20*W20)&gt;=150000,(N20*W20)-150000,0)+IF((O20*W20)&gt;=150000,(O20*W20)-150000,0)+IF((P20*W20)&gt;=150000,(P20*W20)-150000,0)+IF((Q20*W20)&gt;=150000,(Q20*W20)-150000,0)+IF((R20*W20)&gt;=150000,(R20*W20)-150000,0)+IF((S20*W20)&gt;=150000,(S20*W20)-150000,0)+IF((T20*W20)&gt;=150000,(T20*W20)-150000,0)</f>
        <v>0</v>
      </c>
      <c r="Z20" s="60">
        <f>+Y20+Y21</f>
        <v>0</v>
      </c>
      <c r="AA20" s="47">
        <f>IF((ROUNDDOWN((+Z20*6%)*45%,-1))&gt;=1000,(ROUNDDOWN((+Z20*6%)*45%,-1)),0)</f>
        <v>0</v>
      </c>
      <c r="AB20" s="18">
        <f>IFERROR(IF(DATEDIF(DATE(MID(C20,1,2),MID(C20,3,2),MID(C20,5,2)),$W$2,"y")&gt;=60,0,IF(OR(V20&gt;=8,X20&gt;=2200000),TRUNC(X20*4.5%,-1),0)),0)</f>
        <v>0</v>
      </c>
      <c r="AC20" s="18">
        <f>IFERROR(IF(AND((DATEDIF(TEXT(LEFT(C20,6),"00-00-00"),$W$2,"Y")&gt;19),(DATEDIF(TEXT(LEFT(C20,6),"00-00-00"),$W$2,"Y")&lt;65)),TRUNC(X20*0.9%,-1),0),0)</f>
        <v>0</v>
      </c>
      <c r="AD20" s="61">
        <f>SUM(AA20:AC21)</f>
        <v>48040</v>
      </c>
      <c r="AE20" s="62">
        <f>+X20-AD20</f>
        <v>1151960</v>
      </c>
      <c r="AF20" s="64"/>
      <c r="AG20" s="65" t="str">
        <f t="shared" ref="AG20" si="7">IF(ISERROR(DATEDIF((DATEVALUE(LEFT(C20,2)&amp;"-"&amp;MID(C20,3,2)&amp;"-"&amp;MID(C20,5,2))),$W$2,"y")),"",DATEDIF((DATEVALUE(LEFT(C20,2)&amp;"-"&amp;MID(C20,3,2)&amp;"-"&amp;MID(C20,5,2))),$W$2,"y"))</f>
        <v/>
      </c>
      <c r="AH20" s="5">
        <v>1</v>
      </c>
      <c r="AI20" s="21">
        <f t="shared" si="1"/>
        <v>1</v>
      </c>
      <c r="AJ20" s="19"/>
      <c r="AK20" s="19"/>
      <c r="AL20" s="19"/>
      <c r="AM20" s="20"/>
      <c r="AN20" s="20"/>
    </row>
    <row r="21" spans="1:40" ht="24.95" customHeight="1" x14ac:dyDescent="0.3">
      <c r="A21" s="66"/>
      <c r="B21" s="67"/>
      <c r="C21" s="45"/>
      <c r="D21" s="70"/>
      <c r="E21" s="71"/>
      <c r="F21" s="14"/>
      <c r="G21" s="14"/>
      <c r="H21" s="14">
        <v>1</v>
      </c>
      <c r="I21" s="14">
        <v>1</v>
      </c>
      <c r="J21" s="14">
        <v>1</v>
      </c>
      <c r="K21" s="14">
        <v>1</v>
      </c>
      <c r="L21" s="14"/>
      <c r="M21" s="14">
        <v>1</v>
      </c>
      <c r="N21" s="14">
        <v>1</v>
      </c>
      <c r="O21" s="14">
        <v>1</v>
      </c>
      <c r="P21" s="14">
        <v>1</v>
      </c>
      <c r="Q21" s="14"/>
      <c r="R21" s="14"/>
      <c r="S21" s="14"/>
      <c r="T21" s="14"/>
      <c r="U21" s="14"/>
      <c r="V21" s="73"/>
      <c r="W21" s="75"/>
      <c r="X21" s="59"/>
      <c r="Y21" s="46">
        <f>IF((F21*W20)&gt;=150000,(F21*W20)-150000,0)+IF((G21*W20)&gt;=150000,(G21*W20)-150000,0)+IF((H21*W20)&gt;=150000,(H21*W20)-150000,0)+IF((I21*W20)&gt;=150000,(I21*W20)-150000,0)+IF((J21*W20)&gt;=150000,(J21*W20)-150000,0)+IF((K21*W20)&gt;=150000,(K21*W20)-150000,0)+IF((L21*W20)&gt;=150000,(L21*W20)-150000,0)+IF((M21*W20)&gt;=150000,(M21*W20)-150000,0)+IF((N21*W20)&gt;=150000,(N21*W20)-150000,0)+IF((O21*W20)&gt;=150000,(O21*W20)-150000,0)+IF((P21*W20)&gt;=150000,(P21*W20)-150000,0)+IF((Q21*W20)&gt;=150000,(Q21*W20)-150000,0)+IF((R21*W20)&gt;=150000,(R21*W20)-150000,0)+IF((S21*W20)&gt;=150000,(S21*W20)-150000,0)+IF((T21*W20)&gt;=150000,(T21*W20)-150000,0)+IF((U21*W20)&gt;=150000,(U21*W20)-150000,0)</f>
        <v>0</v>
      </c>
      <c r="Z21" s="60"/>
      <c r="AA21" s="47">
        <f>ROUNDDOWN(AA20*10%,-1)</f>
        <v>0</v>
      </c>
      <c r="AB21" s="18">
        <f>IF(V20&lt;8,0,(TRUNC(X20*3.545%,-1)))</f>
        <v>42540</v>
      </c>
      <c r="AC21" s="18">
        <f>TRUNC(((AB21*12.95%)),-1)</f>
        <v>5500</v>
      </c>
      <c r="AD21" s="61"/>
      <c r="AE21" s="63"/>
      <c r="AF21" s="64"/>
      <c r="AG21" s="65"/>
      <c r="AH21" s="5">
        <v>2</v>
      </c>
      <c r="AI21" s="21">
        <f t="shared" si="1"/>
        <v>1</v>
      </c>
      <c r="AJ21" s="19"/>
      <c r="AK21" s="19"/>
      <c r="AL21" s="19"/>
      <c r="AM21" s="20"/>
      <c r="AN21" s="20"/>
    </row>
    <row r="22" spans="1:40" ht="24.95" customHeight="1" x14ac:dyDescent="0.15">
      <c r="A22" s="55">
        <f>IF(B22&gt;0,A20+1,"")</f>
        <v>9</v>
      </c>
      <c r="B22" s="67" t="s">
        <v>60</v>
      </c>
      <c r="C22" s="48"/>
      <c r="D22" s="68"/>
      <c r="E22" s="69"/>
      <c r="F22" s="14"/>
      <c r="G22" s="14"/>
      <c r="H22" s="14">
        <v>1</v>
      </c>
      <c r="I22" s="14"/>
      <c r="J22" s="14"/>
      <c r="K22" s="14">
        <v>1</v>
      </c>
      <c r="L22" s="14">
        <v>1</v>
      </c>
      <c r="M22" s="14"/>
      <c r="N22" s="14"/>
      <c r="O22" s="14"/>
      <c r="P22" s="14"/>
      <c r="Q22" s="14"/>
      <c r="R22" s="14"/>
      <c r="S22" s="14"/>
      <c r="T22" s="14"/>
      <c r="U22" s="15"/>
      <c r="V22" s="72">
        <f>SUM(F22:U23)</f>
        <v>8</v>
      </c>
      <c r="W22" s="74">
        <v>150000</v>
      </c>
      <c r="X22" s="58">
        <f>V22*W22</f>
        <v>1200000</v>
      </c>
      <c r="Y22" s="46">
        <f>IF((F22*W22)&gt;=150000,(F22*W22)-150000,0)+IF((G22*W22)&gt;=150000,(G22*W22)-150000,0)+IF((H22*W22)&gt;=150000,(H22*W22)-150000,0)+IF((I22*W22)&gt;=150000,(I22*W22)-150000,0)+IF((J22*W22)&gt;=150000,(J22*W22)-150000,0)+IF((K22*W22)&gt;=150000,(K22*W22)-150000,0)+IF((L22*W22)&gt;=150000,(L22*W22)-150000,0)+IF((M22*W22)&gt;=150000,(M22*W22)-150000,0)+IF((N22*W22)&gt;=150000,(N22*W22)-150000,0)+IF((O22*W22)&gt;=150000,(O22*W22)-150000,0)+IF((P22*W22)&gt;=150000,(P22*W22)-150000,0)+IF((Q22*W22)&gt;=150000,(Q22*W22)-150000,0)+IF((R22*W22)&gt;=150000,(R22*W22)-150000,0)+IF((S22*W22)&gt;=150000,(S22*W22)-150000,0)+IF((T22*W22)&gt;=150000,(T22*W22)-150000,0)</f>
        <v>0</v>
      </c>
      <c r="Z22" s="60">
        <f>+Y22+Y23</f>
        <v>0</v>
      </c>
      <c r="AA22" s="47">
        <f>IF((ROUNDDOWN((+Z22*6%)*45%,-1))&gt;=1000,(ROUNDDOWN((+Z22*6%)*45%,-1)),0)</f>
        <v>0</v>
      </c>
      <c r="AB22" s="18">
        <f>IFERROR(IF(DATEDIF(DATE(MID(C22,1,2),MID(C22,3,2),MID(C22,5,2)),$W$2,"y")&gt;=60,0,IF(OR(V22&gt;=8,X22&gt;=2200000),TRUNC(X22*4.5%,-1),0)),0)</f>
        <v>0</v>
      </c>
      <c r="AC22" s="18">
        <f>IFERROR(IF(AND((DATEDIF(TEXT(LEFT(C22,6),"00-00-00"),$W$2,"Y")&gt;19),(DATEDIF(TEXT(LEFT(C22,6),"00-00-00"),$W$2,"Y")&lt;65)),TRUNC(X22*0.9%,-1),0),0)</f>
        <v>0</v>
      </c>
      <c r="AD22" s="61">
        <f>SUM(AA22:AC23)</f>
        <v>48040</v>
      </c>
      <c r="AE22" s="62">
        <f>+X22-AD22</f>
        <v>1151960</v>
      </c>
      <c r="AF22" s="64"/>
      <c r="AG22" s="65" t="str">
        <f t="shared" ref="AG22" si="8">IF(ISERROR(DATEDIF((DATEVALUE(LEFT(C22,2)&amp;"-"&amp;MID(C22,3,2)&amp;"-"&amp;MID(C22,5,2))),$W$2,"y")),"",DATEDIF((DATEVALUE(LEFT(C22,2)&amp;"-"&amp;MID(C22,3,2)&amp;"-"&amp;MID(C22,5,2))),$W$2,"y"))</f>
        <v/>
      </c>
      <c r="AH22" s="5">
        <v>1</v>
      </c>
      <c r="AI22" s="21">
        <f t="shared" si="1"/>
        <v>1</v>
      </c>
      <c r="AJ22" s="19"/>
      <c r="AK22" s="19"/>
      <c r="AL22" s="19"/>
      <c r="AM22" s="20"/>
      <c r="AN22" s="20"/>
    </row>
    <row r="23" spans="1:40" ht="24.95" customHeight="1" x14ac:dyDescent="0.3">
      <c r="A23" s="66"/>
      <c r="B23" s="67"/>
      <c r="C23" s="45"/>
      <c r="D23" s="70"/>
      <c r="E23" s="71"/>
      <c r="F23" s="14"/>
      <c r="G23" s="14"/>
      <c r="H23" s="14">
        <v>1</v>
      </c>
      <c r="I23" s="14">
        <v>1</v>
      </c>
      <c r="J23" s="14">
        <v>1</v>
      </c>
      <c r="K23" s="14">
        <v>1</v>
      </c>
      <c r="L23" s="14"/>
      <c r="M23" s="14">
        <v>1</v>
      </c>
      <c r="N23" s="14"/>
      <c r="O23" s="14"/>
      <c r="P23" s="14"/>
      <c r="Q23" s="14"/>
      <c r="R23" s="14"/>
      <c r="S23" s="14"/>
      <c r="T23" s="14"/>
      <c r="U23" s="14"/>
      <c r="V23" s="73"/>
      <c r="W23" s="75"/>
      <c r="X23" s="59"/>
      <c r="Y23" s="46">
        <f>IF((F23*W22)&gt;=150000,(F23*W22)-150000,0)+IF((G23*W22)&gt;=150000,(G23*W22)-150000,0)+IF((H23*W22)&gt;=150000,(H23*W22)-150000,0)+IF((I23*W22)&gt;=150000,(I23*W22)-150000,0)+IF((J23*W22)&gt;=150000,(J23*W22)-150000,0)+IF((K23*W22)&gt;=150000,(K23*W22)-150000,0)+IF((L23*W22)&gt;=150000,(L23*W22)-150000,0)+IF((M23*W22)&gt;=150000,(M23*W22)-150000,0)+IF((N23*W22)&gt;=150000,(N23*W22)-150000,0)+IF((O23*W22)&gt;=150000,(O23*W22)-150000,0)+IF((P23*W22)&gt;=150000,(P23*W22)-150000,0)+IF((Q23*W22)&gt;=150000,(Q23*W22)-150000,0)+IF((R23*W22)&gt;=150000,(R23*W22)-150000,0)+IF((S23*W22)&gt;=150000,(S23*W22)-150000,0)+IF((T23*W22)&gt;=150000,(T23*W22)-150000,0)+IF((U23*W22)&gt;=150000,(U23*W22)-150000,0)</f>
        <v>0</v>
      </c>
      <c r="Z23" s="60"/>
      <c r="AA23" s="47">
        <f>ROUNDDOWN(AA22*10%,-1)</f>
        <v>0</v>
      </c>
      <c r="AB23" s="18">
        <f>IF(V22&lt;8,0,(TRUNC(X22*3.545%,-1)))</f>
        <v>42540</v>
      </c>
      <c r="AC23" s="18">
        <f>TRUNC(((AB23*12.95%)),-1)</f>
        <v>5500</v>
      </c>
      <c r="AD23" s="61"/>
      <c r="AE23" s="63"/>
      <c r="AF23" s="64"/>
      <c r="AG23" s="65"/>
      <c r="AH23" s="5">
        <v>2</v>
      </c>
      <c r="AI23" s="21">
        <f t="shared" si="1"/>
        <v>1</v>
      </c>
      <c r="AJ23" s="19"/>
      <c r="AK23" s="19"/>
      <c r="AL23" s="19"/>
      <c r="AM23" s="20"/>
      <c r="AN23" s="20"/>
    </row>
    <row r="24" spans="1:40" ht="24.95" customHeight="1" x14ac:dyDescent="0.15">
      <c r="A24" s="55">
        <f>IF(B24&gt;0,A22+1,"")</f>
        <v>10</v>
      </c>
      <c r="B24" s="67" t="s">
        <v>61</v>
      </c>
      <c r="C24" s="48"/>
      <c r="D24" s="68"/>
      <c r="E24" s="69"/>
      <c r="F24" s="14"/>
      <c r="G24" s="14"/>
      <c r="H24" s="14"/>
      <c r="I24" s="14"/>
      <c r="J24" s="14"/>
      <c r="K24" s="14"/>
      <c r="L24" s="14"/>
      <c r="M24" s="14"/>
      <c r="N24" s="14"/>
      <c r="O24" s="14"/>
      <c r="P24" s="14"/>
      <c r="Q24" s="14"/>
      <c r="R24" s="14"/>
      <c r="S24" s="14"/>
      <c r="T24" s="14"/>
      <c r="U24" s="15"/>
      <c r="V24" s="72">
        <f>SUM(F24:U25)</f>
        <v>5</v>
      </c>
      <c r="W24" s="74">
        <v>200000</v>
      </c>
      <c r="X24" s="58">
        <f>V24*W24</f>
        <v>1000000</v>
      </c>
      <c r="Y24" s="46">
        <f>IF((F24*W24)&gt;=150000,(F24*W24)-150000,0)+IF((G24*W24)&gt;=150000,(G24*W24)-150000,0)+IF((H24*W24)&gt;=150000,(H24*W24)-150000,0)+IF((I24*W24)&gt;=150000,(I24*W24)-150000,0)+IF((J24*W24)&gt;=150000,(J24*W24)-150000,0)+IF((K24*W24)&gt;=150000,(K24*W24)-150000,0)+IF((L24*W24)&gt;=150000,(L24*W24)-150000,0)+IF((M24*W24)&gt;=150000,(M24*W24)-150000,0)+IF((N24*W24)&gt;=150000,(N24*W24)-150000,0)+IF((O24*W24)&gt;=150000,(O24*W24)-150000,0)+IF((P24*W24)&gt;=150000,(P24*W24)-150000,0)+IF((Q24*W24)&gt;=150000,(Q24*W24)-150000,0)+IF((R24*W24)&gt;=150000,(R24*W24)-150000,0)+IF((S24*W24)&gt;=150000,(S24*W24)-150000,0)+IF((T24*W24)&gt;=150000,(T24*W24)-150000,0)</f>
        <v>0</v>
      </c>
      <c r="Z24" s="60">
        <f>+Y24+Y25</f>
        <v>250000</v>
      </c>
      <c r="AA24" s="47">
        <f>IF((ROUNDDOWN((+Z24*6%)*45%,-1))&gt;=1000,(ROUNDDOWN((+Z24*6%)*45%,-1)),0)</f>
        <v>6750</v>
      </c>
      <c r="AB24" s="18">
        <f>IFERROR(IF(DATEDIF(DATE(MID(C24,1,2),MID(C24,3,2),MID(C24,5,2)),$W$2,"y")&gt;=60,0,IF(OR(V24&gt;=8,X24&gt;=2200000),TRUNC(X24*4.5%,-1),0)),0)</f>
        <v>0</v>
      </c>
      <c r="AC24" s="18">
        <f>IFERROR(IF(AND((DATEDIF(TEXT(LEFT(C24,6),"00-00-00"),$W$2,"Y")&gt;19),(DATEDIF(TEXT(LEFT(C24,6),"00-00-00"),$W$2,"Y")&lt;65)),TRUNC(X24*0.9%,-1),0),0)</f>
        <v>0</v>
      </c>
      <c r="AD24" s="61">
        <f>SUM(AA24:AC25)</f>
        <v>7420</v>
      </c>
      <c r="AE24" s="62">
        <f>+X24-AD24</f>
        <v>992580</v>
      </c>
      <c r="AF24" s="64"/>
      <c r="AG24" s="65" t="str">
        <f t="shared" ref="AG24" si="9">IF(ISERROR(DATEDIF((DATEVALUE(LEFT(C24,2)&amp;"-"&amp;MID(C24,3,2)&amp;"-"&amp;MID(C24,5,2))),$W$2,"y")),"",DATEDIF((DATEVALUE(LEFT(C24,2)&amp;"-"&amp;MID(C24,3,2)&amp;"-"&amp;MID(C24,5,2))),$W$2,"y"))</f>
        <v/>
      </c>
      <c r="AH24" s="5">
        <v>1</v>
      </c>
      <c r="AI24" s="21">
        <f t="shared" si="1"/>
        <v>1</v>
      </c>
      <c r="AJ24" s="19"/>
      <c r="AK24" s="19"/>
      <c r="AL24" s="19"/>
      <c r="AM24" s="20"/>
      <c r="AN24" s="20"/>
    </row>
    <row r="25" spans="1:40" ht="24.95" customHeight="1" x14ac:dyDescent="0.3">
      <c r="A25" s="66"/>
      <c r="B25" s="67"/>
      <c r="C25" s="45"/>
      <c r="D25" s="70"/>
      <c r="E25" s="71"/>
      <c r="F25" s="14"/>
      <c r="G25" s="14"/>
      <c r="H25" s="14">
        <v>1</v>
      </c>
      <c r="I25" s="14">
        <v>1</v>
      </c>
      <c r="J25" s="14">
        <v>1</v>
      </c>
      <c r="K25" s="14"/>
      <c r="L25" s="14"/>
      <c r="M25" s="14">
        <v>1</v>
      </c>
      <c r="N25" s="14">
        <v>1</v>
      </c>
      <c r="O25" s="14"/>
      <c r="P25" s="14"/>
      <c r="Q25" s="14"/>
      <c r="R25" s="14"/>
      <c r="S25" s="14"/>
      <c r="T25" s="14"/>
      <c r="U25" s="14"/>
      <c r="V25" s="73"/>
      <c r="W25" s="75"/>
      <c r="X25" s="59"/>
      <c r="Y25" s="46">
        <f>IF((F25*W24)&gt;=150000,(F25*W24)-150000,0)+IF((G25*W24)&gt;=150000,(G25*W24)-150000,0)+IF((H25*W24)&gt;=150000,(H25*W24)-150000,0)+IF((I25*W24)&gt;=150000,(I25*W24)-150000,0)+IF((J25*W24)&gt;=150000,(J25*W24)-150000,0)+IF((K25*W24)&gt;=150000,(K25*W24)-150000,0)+IF((L25*W24)&gt;=150000,(L25*W24)-150000,0)+IF((M25*W24)&gt;=150000,(M25*W24)-150000,0)+IF((N25*W24)&gt;=150000,(N25*W24)-150000,0)+IF((O25*W24)&gt;=150000,(O25*W24)-150000,0)+IF((P25*W24)&gt;=150000,(P25*W24)-150000,0)+IF((Q25*W24)&gt;=150000,(Q25*W24)-150000,0)+IF((R25*W24)&gt;=150000,(R25*W24)-150000,0)+IF((S25*W24)&gt;=150000,(S25*W24)-150000,0)+IF((T25*W24)&gt;=150000,(T25*W24)-150000,0)+IF((U25*W24)&gt;=150000,(U25*W24)-150000,0)</f>
        <v>250000</v>
      </c>
      <c r="Z25" s="60"/>
      <c r="AA25" s="47">
        <f>ROUNDDOWN(AA24*10%,-1)</f>
        <v>670</v>
      </c>
      <c r="AB25" s="18">
        <f>IF(V24&lt;8,0,(TRUNC(X24*3.545%,-1)))</f>
        <v>0</v>
      </c>
      <c r="AC25" s="18">
        <f>TRUNC(((AB25*12.95%)),-1)</f>
        <v>0</v>
      </c>
      <c r="AD25" s="61"/>
      <c r="AE25" s="63"/>
      <c r="AF25" s="64"/>
      <c r="AG25" s="65"/>
      <c r="AH25" s="5">
        <v>2</v>
      </c>
      <c r="AI25" s="21">
        <f t="shared" si="1"/>
        <v>1</v>
      </c>
      <c r="AJ25" s="19"/>
      <c r="AK25" s="19"/>
      <c r="AL25" s="19"/>
      <c r="AM25" s="20"/>
      <c r="AN25" s="20"/>
    </row>
    <row r="26" spans="1:40" ht="24.95" customHeight="1" x14ac:dyDescent="0.15">
      <c r="A26" s="55">
        <f>IF(B26&gt;0,A24+1,"")</f>
        <v>11</v>
      </c>
      <c r="B26" s="67" t="s">
        <v>62</v>
      </c>
      <c r="C26" s="48"/>
      <c r="D26" s="68"/>
      <c r="E26" s="69"/>
      <c r="F26" s="14"/>
      <c r="G26" s="14"/>
      <c r="H26" s="14"/>
      <c r="I26" s="14"/>
      <c r="J26" s="14"/>
      <c r="K26" s="14"/>
      <c r="L26" s="14"/>
      <c r="M26" s="14"/>
      <c r="N26" s="14"/>
      <c r="O26" s="14"/>
      <c r="P26" s="14"/>
      <c r="Q26" s="14"/>
      <c r="R26" s="14"/>
      <c r="S26" s="14"/>
      <c r="T26" s="14"/>
      <c r="U26" s="15"/>
      <c r="V26" s="72">
        <f>SUM(F26:U27)</f>
        <v>1</v>
      </c>
      <c r="W26" s="74">
        <v>200000</v>
      </c>
      <c r="X26" s="58">
        <f>V26*W26</f>
        <v>200000</v>
      </c>
      <c r="Y26" s="46">
        <f>IF((F26*W26)&gt;=150000,(F26*W26)-150000,0)+IF((G26*W26)&gt;=150000,(G26*W26)-150000,0)+IF((H26*W26)&gt;=150000,(H26*W26)-150000,0)+IF((I26*W26)&gt;=150000,(I26*W26)-150000,0)+IF((J26*W26)&gt;=150000,(J26*W26)-150000,0)+IF((K26*W26)&gt;=150000,(K26*W26)-150000,0)+IF((L26*W26)&gt;=150000,(L26*W26)-150000,0)+IF((M26*W26)&gt;=150000,(M26*W26)-150000,0)+IF((N26*W26)&gt;=150000,(N26*W26)-150000,0)+IF((O26*W26)&gt;=150000,(O26*W26)-150000,0)+IF((P26*W26)&gt;=150000,(P26*W26)-150000,0)+IF((Q26*W26)&gt;=150000,(Q26*W26)-150000,0)+IF((R26*W26)&gt;=150000,(R26*W26)-150000,0)+IF((S26*W26)&gt;=150000,(S26*W26)-150000,0)+IF((T26*W26)&gt;=150000,(T26*W26)-150000,0)</f>
        <v>0</v>
      </c>
      <c r="Z26" s="60">
        <f>+Y26+Y27</f>
        <v>50000</v>
      </c>
      <c r="AA26" s="47">
        <f>IF((ROUNDDOWN((+Z26*6%)*45%,-1))&gt;=1000,(ROUNDDOWN((+Z26*6%)*45%,-1)),0)</f>
        <v>1350</v>
      </c>
      <c r="AB26" s="18">
        <f>IFERROR(IF(DATEDIF(DATE(MID(C26,1,2),MID(C26,3,2),MID(C26,5,2)),$W$2,"y")&gt;=60,0,IF(OR(V26&gt;=8,X26&gt;=2200000),TRUNC(X26*4.5%,-1),0)),0)</f>
        <v>0</v>
      </c>
      <c r="AC26" s="18">
        <f>IFERROR(IF(AND((DATEDIF(TEXT(LEFT(C26,6),"00-00-00"),$W$2,"Y")&gt;19),(DATEDIF(TEXT(LEFT(C26,6),"00-00-00"),$W$2,"Y")&lt;65)),TRUNC(X26*0.9%,-1),0),0)</f>
        <v>0</v>
      </c>
      <c r="AD26" s="61">
        <f>SUM(AA26:AC27)</f>
        <v>1480</v>
      </c>
      <c r="AE26" s="62">
        <f>+X26-AD26</f>
        <v>198520</v>
      </c>
      <c r="AF26" s="64"/>
      <c r="AG26" s="65" t="str">
        <f t="shared" ref="AG26" si="10">IF(ISERROR(DATEDIF((DATEVALUE(LEFT(C26,2)&amp;"-"&amp;MID(C26,3,2)&amp;"-"&amp;MID(C26,5,2))),$W$2,"y")),"",DATEDIF((DATEVALUE(LEFT(C26,2)&amp;"-"&amp;MID(C26,3,2)&amp;"-"&amp;MID(C26,5,2))),$W$2,"y"))</f>
        <v/>
      </c>
      <c r="AH26" s="5">
        <v>1</v>
      </c>
      <c r="AI26" s="21">
        <f t="shared" si="1"/>
        <v>1</v>
      </c>
      <c r="AJ26" s="19"/>
      <c r="AK26" s="19"/>
      <c r="AL26" s="19"/>
      <c r="AM26" s="20"/>
      <c r="AN26" s="20"/>
    </row>
    <row r="27" spans="1:40" ht="24.95" customHeight="1" x14ac:dyDescent="0.3">
      <c r="A27" s="66"/>
      <c r="B27" s="67"/>
      <c r="C27" s="45"/>
      <c r="D27" s="70"/>
      <c r="E27" s="71"/>
      <c r="F27" s="14"/>
      <c r="G27" s="14"/>
      <c r="H27" s="14"/>
      <c r="I27" s="14"/>
      <c r="J27" s="14"/>
      <c r="K27" s="14"/>
      <c r="L27" s="14"/>
      <c r="M27" s="14">
        <v>1</v>
      </c>
      <c r="N27" s="14"/>
      <c r="O27" s="14"/>
      <c r="P27" s="14"/>
      <c r="Q27" s="14"/>
      <c r="R27" s="14"/>
      <c r="S27" s="14"/>
      <c r="T27" s="14"/>
      <c r="U27" s="14"/>
      <c r="V27" s="73"/>
      <c r="W27" s="75"/>
      <c r="X27" s="59"/>
      <c r="Y27" s="46">
        <f>IF((F27*W26)&gt;=150000,(F27*W26)-150000,0)+IF((G27*W26)&gt;=150000,(G27*W26)-150000,0)+IF((H27*W26)&gt;=150000,(H27*W26)-150000,0)+IF((I27*W26)&gt;=150000,(I27*W26)-150000,0)+IF((J27*W26)&gt;=150000,(J27*W26)-150000,0)+IF((K27*W26)&gt;=150000,(K27*W26)-150000,0)+IF((L27*W26)&gt;=150000,(L27*W26)-150000,0)+IF((M27*W26)&gt;=150000,(M27*W26)-150000,0)+IF((N27*W26)&gt;=150000,(N27*W26)-150000,0)+IF((O27*W26)&gt;=150000,(O27*W26)-150000,0)+IF((P27*W26)&gt;=150000,(P27*W26)-150000,0)+IF((Q27*W26)&gt;=150000,(Q27*W26)-150000,0)+IF((R27*W26)&gt;=150000,(R27*W26)-150000,0)+IF((S27*W26)&gt;=150000,(S27*W26)-150000,0)+IF((T27*W26)&gt;=150000,(T27*W26)-150000,0)+IF((U27*W26)&gt;=150000,(U27*W26)-150000,0)</f>
        <v>50000</v>
      </c>
      <c r="Z27" s="60"/>
      <c r="AA27" s="47">
        <f>ROUNDDOWN(AA26*10%,-1)</f>
        <v>130</v>
      </c>
      <c r="AB27" s="18">
        <f>IF(V26&lt;8,0,(TRUNC(X26*3.545%,-1)))</f>
        <v>0</v>
      </c>
      <c r="AC27" s="18">
        <f>TRUNC(((AB27*12.95%)),-1)</f>
        <v>0</v>
      </c>
      <c r="AD27" s="61"/>
      <c r="AE27" s="63"/>
      <c r="AF27" s="64"/>
      <c r="AG27" s="65"/>
      <c r="AH27" s="5">
        <v>2</v>
      </c>
      <c r="AI27" s="21">
        <f t="shared" si="1"/>
        <v>1</v>
      </c>
      <c r="AJ27" s="19"/>
      <c r="AK27" s="19"/>
      <c r="AL27" s="19"/>
      <c r="AM27" s="20"/>
      <c r="AN27" s="20"/>
    </row>
    <row r="28" spans="1:40" ht="24.95" customHeight="1" x14ac:dyDescent="0.15">
      <c r="A28" s="55">
        <f>IF(B28&gt;0,A26+1,"")</f>
        <v>12</v>
      </c>
      <c r="B28" s="67" t="s">
        <v>64</v>
      </c>
      <c r="C28" s="48"/>
      <c r="D28" s="68"/>
      <c r="E28" s="69"/>
      <c r="F28" s="14"/>
      <c r="G28" s="14"/>
      <c r="H28" s="14"/>
      <c r="I28" s="14">
        <v>1</v>
      </c>
      <c r="J28" s="14">
        <v>1</v>
      </c>
      <c r="K28" s="14"/>
      <c r="L28" s="14"/>
      <c r="M28" s="14"/>
      <c r="N28" s="14">
        <v>1</v>
      </c>
      <c r="O28" s="14">
        <v>1</v>
      </c>
      <c r="P28" s="14"/>
      <c r="Q28" s="14"/>
      <c r="R28" s="14">
        <v>1</v>
      </c>
      <c r="S28" s="14">
        <v>1</v>
      </c>
      <c r="T28" s="14"/>
      <c r="U28" s="15"/>
      <c r="V28" s="72">
        <f>SUM(F28:U29)</f>
        <v>13</v>
      </c>
      <c r="W28" s="74">
        <v>150000</v>
      </c>
      <c r="X28" s="58">
        <f>V28*W28</f>
        <v>1950000</v>
      </c>
      <c r="Y28" s="46">
        <f>IF((F28*W28)&gt;=150000,(F28*W28)-150000,0)+IF((G28*W28)&gt;=150000,(G28*W28)-150000,0)+IF((H28*W28)&gt;=150000,(H28*W28)-150000,0)+IF((I28*W28)&gt;=150000,(I28*W28)-150000,0)+IF((J28*W28)&gt;=150000,(J28*W28)-150000,0)+IF((K28*W28)&gt;=150000,(K28*W28)-150000,0)+IF((L28*W28)&gt;=150000,(L28*W28)-150000,0)+IF((M28*W28)&gt;=150000,(M28*W28)-150000,0)+IF((N28*W28)&gt;=150000,(N28*W28)-150000,0)+IF((O28*W28)&gt;=150000,(O28*W28)-150000,0)+IF((P28*W28)&gt;=150000,(P28*W28)-150000,0)+IF((Q28*W28)&gt;=150000,(Q28*W28)-150000,0)+IF((R28*W28)&gt;=150000,(R28*W28)-150000,0)+IF((S28*W28)&gt;=150000,(S28*W28)-150000,0)+IF((T28*W28)&gt;=150000,(T28*W28)-150000,0)</f>
        <v>0</v>
      </c>
      <c r="Z28" s="60">
        <f>+Y28+Y29</f>
        <v>0</v>
      </c>
      <c r="AA28" s="47">
        <f>IF((ROUNDDOWN((+Z28*6%)*45%,-1))&gt;=1000,(ROUNDDOWN((+Z28*6%)*45%,-1)),0)</f>
        <v>0</v>
      </c>
      <c r="AB28" s="18">
        <f>IFERROR(IF(DATEDIF(DATE(MID(C28,1,2),MID(C28,3,2),MID(C28,5,2)),$W$2,"y")&gt;=60,0,IF(OR(V28&gt;=8,X28&gt;=2200000),TRUNC(X28*4.5%,-1),0)),0)</f>
        <v>0</v>
      </c>
      <c r="AC28" s="18">
        <f>IFERROR(IF(AND((DATEDIF(TEXT(LEFT(C28,6),"00-00-00"),$W$2,"Y")&gt;19),(DATEDIF(TEXT(LEFT(C28,6),"00-00-00"),$W$2,"Y")&lt;65)),TRUNC(X28*0.9%,-1),0),0)</f>
        <v>0</v>
      </c>
      <c r="AD28" s="61">
        <f>SUM(AA28:AC29)</f>
        <v>78070</v>
      </c>
      <c r="AE28" s="62">
        <f>+X28-AD28</f>
        <v>1871930</v>
      </c>
      <c r="AF28" s="64"/>
      <c r="AG28" s="65" t="str">
        <f t="shared" ref="AG28" si="11">IF(ISERROR(DATEDIF((DATEVALUE(LEFT(C28,2)&amp;"-"&amp;MID(C28,3,2)&amp;"-"&amp;MID(C28,5,2))),$W$2,"y")),"",DATEDIF((DATEVALUE(LEFT(C28,2)&amp;"-"&amp;MID(C28,3,2)&amp;"-"&amp;MID(C28,5,2))),$W$2,"y"))</f>
        <v/>
      </c>
      <c r="AH28" s="5">
        <v>1</v>
      </c>
      <c r="AI28" s="21">
        <f t="shared" si="1"/>
        <v>1</v>
      </c>
      <c r="AJ28" s="19"/>
      <c r="AK28" s="19"/>
      <c r="AL28" s="19"/>
      <c r="AM28" s="20"/>
      <c r="AN28" s="20"/>
    </row>
    <row r="29" spans="1:40" ht="24.95" customHeight="1" x14ac:dyDescent="0.3">
      <c r="A29" s="66"/>
      <c r="B29" s="67"/>
      <c r="C29" s="45"/>
      <c r="D29" s="70"/>
      <c r="E29" s="71"/>
      <c r="F29" s="14">
        <v>1</v>
      </c>
      <c r="G29" s="14">
        <v>1</v>
      </c>
      <c r="H29" s="14">
        <v>1</v>
      </c>
      <c r="I29" s="14">
        <v>1</v>
      </c>
      <c r="J29" s="14">
        <v>1</v>
      </c>
      <c r="K29" s="14">
        <v>1</v>
      </c>
      <c r="L29" s="14"/>
      <c r="M29" s="14">
        <v>1</v>
      </c>
      <c r="N29" s="14"/>
      <c r="O29" s="14"/>
      <c r="P29" s="14"/>
      <c r="Q29" s="14"/>
      <c r="R29" s="14"/>
      <c r="S29" s="14"/>
      <c r="T29" s="14"/>
      <c r="U29" s="14"/>
      <c r="V29" s="73"/>
      <c r="W29" s="75"/>
      <c r="X29" s="59"/>
      <c r="Y29" s="46">
        <f>IF((F29*W28)&gt;=150000,(F29*W28)-150000,0)+IF((G29*W28)&gt;=150000,(G29*W28)-150000,0)+IF((H29*W28)&gt;=150000,(H29*W28)-150000,0)+IF((I29*W28)&gt;=150000,(I29*W28)-150000,0)+IF((J29*W28)&gt;=150000,(J29*W28)-150000,0)+IF((K29*W28)&gt;=150000,(K29*W28)-150000,0)+IF((L29*W28)&gt;=150000,(L29*W28)-150000,0)+IF((M29*W28)&gt;=150000,(M29*W28)-150000,0)+IF((N29*W28)&gt;=150000,(N29*W28)-150000,0)+IF((O29*W28)&gt;=150000,(O29*W28)-150000,0)+IF((P29*W28)&gt;=150000,(P29*W28)-150000,0)+IF((Q29*W28)&gt;=150000,(Q29*W28)-150000,0)+IF((R29*W28)&gt;=150000,(R29*W28)-150000,0)+IF((S29*W28)&gt;=150000,(S29*W28)-150000,0)+IF((T29*W28)&gt;=150000,(T29*W28)-150000,0)+IF((U29*W28)&gt;=150000,(U29*W28)-150000,0)</f>
        <v>0</v>
      </c>
      <c r="Z29" s="60"/>
      <c r="AA29" s="47">
        <f>ROUNDDOWN(AA28*10%,-1)</f>
        <v>0</v>
      </c>
      <c r="AB29" s="18">
        <f>IF(V28&lt;8,0,(TRUNC(X28*3.545%,-1)))</f>
        <v>69120</v>
      </c>
      <c r="AC29" s="18">
        <f>TRUNC(((AB29*12.95%)),-1)</f>
        <v>8950</v>
      </c>
      <c r="AD29" s="61"/>
      <c r="AE29" s="63"/>
      <c r="AF29" s="64"/>
      <c r="AG29" s="65"/>
      <c r="AH29" s="5">
        <v>2</v>
      </c>
      <c r="AI29" s="21">
        <f t="shared" si="1"/>
        <v>1</v>
      </c>
      <c r="AJ29" s="19"/>
      <c r="AK29" s="19"/>
      <c r="AL29" s="19"/>
      <c r="AM29" s="20"/>
      <c r="AN29" s="20"/>
    </row>
    <row r="30" spans="1:40" ht="24.95" customHeight="1" x14ac:dyDescent="0.15">
      <c r="A30" s="55">
        <f>IF(B30&gt;0,A28+1,"")</f>
        <v>13</v>
      </c>
      <c r="B30" s="67" t="s">
        <v>66</v>
      </c>
      <c r="C30" s="48"/>
      <c r="D30" s="68"/>
      <c r="E30" s="69"/>
      <c r="F30" s="14"/>
      <c r="G30" s="14"/>
      <c r="H30" s="14">
        <v>1</v>
      </c>
      <c r="I30" s="14">
        <v>1</v>
      </c>
      <c r="J30" s="14">
        <v>1</v>
      </c>
      <c r="K30" s="14"/>
      <c r="L30" s="14"/>
      <c r="M30" s="14"/>
      <c r="N30" s="14">
        <v>1</v>
      </c>
      <c r="O30" s="14">
        <v>1</v>
      </c>
      <c r="P30" s="14">
        <v>1</v>
      </c>
      <c r="Q30" s="14">
        <v>1</v>
      </c>
      <c r="R30" s="14">
        <v>1</v>
      </c>
      <c r="S30" s="14">
        <v>1</v>
      </c>
      <c r="T30" s="14"/>
      <c r="U30" s="15"/>
      <c r="V30" s="72">
        <f>SUM(F30:U31)</f>
        <v>20</v>
      </c>
      <c r="W30" s="74">
        <v>180000</v>
      </c>
      <c r="X30" s="58">
        <f>V30*W30</f>
        <v>3600000</v>
      </c>
      <c r="Y30" s="46">
        <f>IF((F30*W30)&gt;=150000,(F30*W30)-150000,0)+IF((G30*W30)&gt;=150000,(G30*W30)-150000,0)+IF((H30*W30)&gt;=150000,(H30*W30)-150000,0)+IF((I30*W30)&gt;=150000,(I30*W30)-150000,0)+IF((J30*W30)&gt;=150000,(J30*W30)-150000,0)+IF((K30*W30)&gt;=150000,(K30*W30)-150000,0)+IF((L30*W30)&gt;=150000,(L30*W30)-150000,0)+IF((M30*W30)&gt;=150000,(M30*W30)-150000,0)+IF((N30*W30)&gt;=150000,(N30*W30)-150000,0)+IF((O30*W30)&gt;=150000,(O30*W30)-150000,0)+IF((P30*W30)&gt;=150000,(P30*W30)-150000,0)+IF((Q30*W30)&gt;=150000,(Q30*W30)-150000,0)+IF((R30*W30)&gt;=150000,(R30*W30)-150000,0)+IF((S30*W30)&gt;=150000,(S30*W30)-150000,0)+IF((T30*W30)&gt;=150000,(T30*W30)-150000,0)</f>
        <v>270000</v>
      </c>
      <c r="Z30" s="60">
        <f>+Y30+Y31</f>
        <v>600000</v>
      </c>
      <c r="AA30" s="47">
        <f>IF((ROUNDDOWN((+Z30*6%)*45%,-1))&gt;=1000,(ROUNDDOWN((+Z30*6%)*45%,-1)),0)</f>
        <v>16200</v>
      </c>
      <c r="AB30" s="18">
        <f>IFERROR(IF(DATEDIF(DATE(MID(C30,1,2),MID(C30,3,2),MID(C30,5,2)),$W$2,"y")&gt;=60,0,IF(OR(V30&gt;=8,X30&gt;=2200000),TRUNC(X30*4.5%,-1),0)),0)</f>
        <v>0</v>
      </c>
      <c r="AC30" s="18">
        <f>IFERROR(IF(AND((DATEDIF(TEXT(LEFT(C30,6),"00-00-00"),$W$2,"Y")&gt;19),(DATEDIF(TEXT(LEFT(C30,6),"00-00-00"),$W$2,"Y")&lt;65)),TRUNC(X30*0.9%,-1),0),0)</f>
        <v>0</v>
      </c>
      <c r="AD30" s="61">
        <f>SUM(AA30:AC31)</f>
        <v>161960</v>
      </c>
      <c r="AE30" s="62">
        <f>+X30-AD30</f>
        <v>3438040</v>
      </c>
      <c r="AF30" s="64"/>
      <c r="AG30" s="65" t="str">
        <f t="shared" ref="AG30" si="12">IF(ISERROR(DATEDIF((DATEVALUE(LEFT(C30,2)&amp;"-"&amp;MID(C30,3,2)&amp;"-"&amp;MID(C30,5,2))),$W$2,"y")),"",DATEDIF((DATEVALUE(LEFT(C30,2)&amp;"-"&amp;MID(C30,3,2)&amp;"-"&amp;MID(C30,5,2))),$W$2,"y"))</f>
        <v/>
      </c>
      <c r="AH30" s="5">
        <v>1</v>
      </c>
      <c r="AI30" s="21">
        <f t="shared" si="1"/>
        <v>1</v>
      </c>
      <c r="AJ30" s="19"/>
      <c r="AK30" s="19"/>
      <c r="AL30" s="19"/>
      <c r="AM30" s="20"/>
      <c r="AN30" s="20"/>
    </row>
    <row r="31" spans="1:40" ht="24.95" customHeight="1" x14ac:dyDescent="0.3">
      <c r="A31" s="66"/>
      <c r="B31" s="67"/>
      <c r="C31" s="45"/>
      <c r="D31" s="70"/>
      <c r="E31" s="71"/>
      <c r="F31" s="14">
        <v>1</v>
      </c>
      <c r="G31" s="14">
        <v>1</v>
      </c>
      <c r="H31" s="14">
        <v>1</v>
      </c>
      <c r="I31" s="14">
        <v>1</v>
      </c>
      <c r="J31" s="14">
        <v>1</v>
      </c>
      <c r="K31" s="14">
        <v>1</v>
      </c>
      <c r="L31" s="14"/>
      <c r="M31" s="14">
        <v>1</v>
      </c>
      <c r="N31" s="14">
        <v>1</v>
      </c>
      <c r="O31" s="14">
        <v>1</v>
      </c>
      <c r="P31" s="14">
        <v>1</v>
      </c>
      <c r="Q31" s="14">
        <v>1</v>
      </c>
      <c r="R31" s="14"/>
      <c r="S31" s="14"/>
      <c r="T31" s="14"/>
      <c r="U31" s="14"/>
      <c r="V31" s="73"/>
      <c r="W31" s="75"/>
      <c r="X31" s="59"/>
      <c r="Y31" s="46">
        <f>IF((F31*W30)&gt;=150000,(F31*W30)-150000,0)+IF((G31*W30)&gt;=150000,(G31*W30)-150000,0)+IF((H31*W30)&gt;=150000,(H31*W30)-150000,0)+IF((I31*W30)&gt;=150000,(I31*W30)-150000,0)+IF((J31*W30)&gt;=150000,(J31*W30)-150000,0)+IF((K31*W30)&gt;=150000,(K31*W30)-150000,0)+IF((L31*W30)&gt;=150000,(L31*W30)-150000,0)+IF((M31*W30)&gt;=150000,(M31*W30)-150000,0)+IF((N31*W30)&gt;=150000,(N31*W30)-150000,0)+IF((O31*W30)&gt;=150000,(O31*W30)-150000,0)+IF((P31*W30)&gt;=150000,(P31*W30)-150000,0)+IF((Q31*W30)&gt;=150000,(Q31*W30)-150000,0)+IF((R31*W30)&gt;=150000,(R31*W30)-150000,0)+IF((S31*W30)&gt;=150000,(S31*W30)-150000,0)+IF((T31*W30)&gt;=150000,(T31*W30)-150000,0)+IF((U31*W30)&gt;=150000,(U31*W30)-150000,0)</f>
        <v>330000</v>
      </c>
      <c r="Z31" s="60"/>
      <c r="AA31" s="47">
        <f>ROUNDDOWN(AA30*10%,-1)</f>
        <v>1620</v>
      </c>
      <c r="AB31" s="18">
        <f>IF(V30&lt;8,0,(TRUNC(X30*3.545%,-1)))</f>
        <v>127620</v>
      </c>
      <c r="AC31" s="18">
        <f>TRUNC(((AB31*12.95%)),-1)</f>
        <v>16520</v>
      </c>
      <c r="AD31" s="61"/>
      <c r="AE31" s="63"/>
      <c r="AF31" s="64"/>
      <c r="AG31" s="65"/>
      <c r="AH31" s="5">
        <v>2</v>
      </c>
      <c r="AI31" s="21">
        <f t="shared" si="1"/>
        <v>1</v>
      </c>
      <c r="AJ31" s="19"/>
      <c r="AK31" s="19"/>
      <c r="AL31" s="19"/>
      <c r="AM31" s="20"/>
      <c r="AN31" s="20"/>
    </row>
    <row r="32" spans="1:40" ht="24.95" customHeight="1" x14ac:dyDescent="0.15">
      <c r="A32" s="55">
        <f>IF(B32&gt;0,A30+1,"")</f>
        <v>14</v>
      </c>
      <c r="B32" s="67" t="s">
        <v>67</v>
      </c>
      <c r="C32" s="48"/>
      <c r="D32" s="68"/>
      <c r="E32" s="69"/>
      <c r="F32" s="14"/>
      <c r="G32" s="14"/>
      <c r="H32" s="14"/>
      <c r="I32" s="14">
        <v>1</v>
      </c>
      <c r="J32" s="14"/>
      <c r="K32" s="14"/>
      <c r="L32" s="14"/>
      <c r="M32" s="14"/>
      <c r="N32" s="14"/>
      <c r="O32" s="14"/>
      <c r="P32" s="14"/>
      <c r="Q32" s="14"/>
      <c r="R32" s="14"/>
      <c r="S32" s="14"/>
      <c r="T32" s="14"/>
      <c r="U32" s="15"/>
      <c r="V32" s="72">
        <f>SUM(F32:U33)</f>
        <v>1</v>
      </c>
      <c r="W32" s="74">
        <v>180000</v>
      </c>
      <c r="X32" s="58">
        <f>V32*W32</f>
        <v>180000</v>
      </c>
      <c r="Y32" s="46">
        <f>IF((F32*W32)&gt;=150000,(F32*W32)-150000,0)+IF((G32*W32)&gt;=150000,(G32*W32)-150000,0)+IF((H32*W32)&gt;=150000,(H32*W32)-150000,0)+IF((I32*W32)&gt;=150000,(I32*W32)-150000,0)+IF((J32*W32)&gt;=150000,(J32*W32)-150000,0)+IF((K32*W32)&gt;=150000,(K32*W32)-150000,0)+IF((L32*W32)&gt;=150000,(L32*W32)-150000,0)+IF((M32*W32)&gt;=150000,(M32*W32)-150000,0)+IF((N32*W32)&gt;=150000,(N32*W32)-150000,0)+IF((O32*W32)&gt;=150000,(O32*W32)-150000,0)+IF((P32*W32)&gt;=150000,(P32*W32)-150000,0)+IF((Q32*W32)&gt;=150000,(Q32*W32)-150000,0)+IF((R32*W32)&gt;=150000,(R32*W32)-150000,0)+IF((S32*W32)&gt;=150000,(S32*W32)-150000,0)+IF((T32*W32)&gt;=150000,(T32*W32)-150000,0)</f>
        <v>30000</v>
      </c>
      <c r="Z32" s="60">
        <f>+Y32+Y33</f>
        <v>30000</v>
      </c>
      <c r="AA32" s="47">
        <f>IF((ROUNDDOWN((+Z32*6%)*45%,-1))&gt;=1000,(ROUNDDOWN((+Z32*6%)*45%,-1)),0)</f>
        <v>0</v>
      </c>
      <c r="AB32" s="18">
        <f>IFERROR(IF(DATEDIF(DATE(MID(C32,1,2),MID(C32,3,2),MID(C32,5,2)),$W$2,"y")&gt;=60,0,IF(OR(V32&gt;=8,X32&gt;=2200000),TRUNC(X32*4.5%,-1),0)),0)</f>
        <v>0</v>
      </c>
      <c r="AC32" s="18">
        <f>IFERROR(IF(AND((DATEDIF(TEXT(LEFT(C32,6),"00-00-00"),$W$2,"Y")&gt;19),(DATEDIF(TEXT(LEFT(C32,6),"00-00-00"),$W$2,"Y")&lt;65)),TRUNC(X32*0.9%,-1),0),0)</f>
        <v>0</v>
      </c>
      <c r="AD32" s="61">
        <f>SUM(AA32:AC33)</f>
        <v>0</v>
      </c>
      <c r="AE32" s="62">
        <f>+X32-AD32</f>
        <v>180000</v>
      </c>
      <c r="AF32" s="64"/>
      <c r="AG32" s="65" t="str">
        <f t="shared" ref="AG32" si="13">IF(ISERROR(DATEDIF((DATEVALUE(LEFT(C32,2)&amp;"-"&amp;MID(C32,3,2)&amp;"-"&amp;MID(C32,5,2))),$W$2,"y")),"",DATEDIF((DATEVALUE(LEFT(C32,2)&amp;"-"&amp;MID(C32,3,2)&amp;"-"&amp;MID(C32,5,2))),$W$2,"y"))</f>
        <v/>
      </c>
      <c r="AH32" s="5">
        <v>1</v>
      </c>
      <c r="AI32" s="21">
        <f t="shared" si="1"/>
        <v>1</v>
      </c>
      <c r="AJ32" s="19"/>
      <c r="AK32" s="19"/>
      <c r="AL32" s="19"/>
      <c r="AM32" s="20"/>
      <c r="AN32" s="20"/>
    </row>
    <row r="33" spans="1:40" ht="24.95" customHeight="1" x14ac:dyDescent="0.3">
      <c r="A33" s="66"/>
      <c r="B33" s="67"/>
      <c r="C33" s="45"/>
      <c r="D33" s="70"/>
      <c r="E33" s="71"/>
      <c r="F33" s="14"/>
      <c r="G33" s="14"/>
      <c r="H33" s="14"/>
      <c r="I33" s="14"/>
      <c r="J33" s="14"/>
      <c r="K33" s="14"/>
      <c r="L33" s="14"/>
      <c r="M33" s="14"/>
      <c r="N33" s="14"/>
      <c r="O33" s="14"/>
      <c r="P33" s="14"/>
      <c r="Q33" s="14"/>
      <c r="R33" s="14"/>
      <c r="S33" s="14"/>
      <c r="T33" s="14"/>
      <c r="U33" s="14"/>
      <c r="V33" s="73"/>
      <c r="W33" s="75"/>
      <c r="X33" s="59"/>
      <c r="Y33" s="46">
        <f>IF((F33*W32)&gt;=150000,(F33*W32)-150000,0)+IF((G33*W32)&gt;=150000,(G33*W32)-150000,0)+IF((H33*W32)&gt;=150000,(H33*W32)-150000,0)+IF((I33*W32)&gt;=150000,(I33*W32)-150000,0)+IF((J33*W32)&gt;=150000,(J33*W32)-150000,0)+IF((K33*W32)&gt;=150000,(K33*W32)-150000,0)+IF((L33*W32)&gt;=150000,(L33*W32)-150000,0)+IF((M33*W32)&gt;=150000,(M33*W32)-150000,0)+IF((N33*W32)&gt;=150000,(N33*W32)-150000,0)+IF((O33*W32)&gt;=150000,(O33*W32)-150000,0)+IF((P33*W32)&gt;=150000,(P33*W32)-150000,0)+IF((Q33*W32)&gt;=150000,(Q33*W32)-150000,0)+IF((R33*W32)&gt;=150000,(R33*W32)-150000,0)+IF((S33*W32)&gt;=150000,(S33*W32)-150000,0)+IF((T33*W32)&gt;=150000,(T33*W32)-150000,0)+IF((U33*W32)&gt;=150000,(U33*W32)-150000,0)</f>
        <v>0</v>
      </c>
      <c r="Z33" s="60"/>
      <c r="AA33" s="47">
        <f>ROUNDDOWN(AA32*10%,-1)</f>
        <v>0</v>
      </c>
      <c r="AB33" s="18">
        <f>IF(V32&lt;8,0,(TRUNC(X32*3.545%,-1)))</f>
        <v>0</v>
      </c>
      <c r="AC33" s="18">
        <f>TRUNC(((AB33*12.95%)),-1)</f>
        <v>0</v>
      </c>
      <c r="AD33" s="61"/>
      <c r="AE33" s="63"/>
      <c r="AF33" s="64"/>
      <c r="AG33" s="65"/>
      <c r="AH33" s="5">
        <v>2</v>
      </c>
      <c r="AI33" s="21">
        <f t="shared" si="1"/>
        <v>1</v>
      </c>
      <c r="AJ33" s="19"/>
      <c r="AK33" s="19"/>
      <c r="AL33" s="19"/>
      <c r="AM33" s="20"/>
      <c r="AN33" s="20"/>
    </row>
    <row r="34" spans="1:40" ht="24.95" customHeight="1" x14ac:dyDescent="0.15">
      <c r="A34" s="55">
        <f>IF(B34&gt;0,A32+1,"")</f>
        <v>15</v>
      </c>
      <c r="B34" s="67" t="s">
        <v>68</v>
      </c>
      <c r="C34" s="48"/>
      <c r="D34" s="68"/>
      <c r="E34" s="69"/>
      <c r="F34" s="14"/>
      <c r="G34" s="14"/>
      <c r="H34" s="14"/>
      <c r="I34" s="14"/>
      <c r="J34" s="14"/>
      <c r="K34" s="14"/>
      <c r="L34" s="14"/>
      <c r="M34" s="14"/>
      <c r="N34" s="14">
        <v>1</v>
      </c>
      <c r="O34" s="14">
        <v>1</v>
      </c>
      <c r="P34" s="14">
        <v>1</v>
      </c>
      <c r="Q34" s="14"/>
      <c r="R34" s="14">
        <v>1</v>
      </c>
      <c r="S34" s="14"/>
      <c r="T34" s="14"/>
      <c r="U34" s="15"/>
      <c r="V34" s="72">
        <f>SUM(F34:U35)</f>
        <v>13</v>
      </c>
      <c r="W34" s="74">
        <v>180000</v>
      </c>
      <c r="X34" s="58">
        <f>V34*W34</f>
        <v>2340000</v>
      </c>
      <c r="Y34" s="46">
        <f>IF((F34*W34)&gt;=150000,(F34*W34)-150000,0)+IF((G34*W34)&gt;=150000,(G34*W34)-150000,0)+IF((H34*W34)&gt;=150000,(H34*W34)-150000,0)+IF((I34*W34)&gt;=150000,(I34*W34)-150000,0)+IF((J34*W34)&gt;=150000,(J34*W34)-150000,0)+IF((K34*W34)&gt;=150000,(K34*W34)-150000,0)+IF((L34*W34)&gt;=150000,(L34*W34)-150000,0)+IF((M34*W34)&gt;=150000,(M34*W34)-150000,0)+IF((N34*W34)&gt;=150000,(N34*W34)-150000,0)+IF((O34*W34)&gt;=150000,(O34*W34)-150000,0)+IF((P34*W34)&gt;=150000,(P34*W34)-150000,0)+IF((Q34*W34)&gt;=150000,(Q34*W34)-150000,0)+IF((R34*W34)&gt;=150000,(R34*W34)-150000,0)+IF((S34*W34)&gt;=150000,(S34*W34)-150000,0)+IF((T34*W34)&gt;=150000,(T34*W34)-150000,0)</f>
        <v>120000</v>
      </c>
      <c r="Z34" s="60">
        <f>+Y34+Y35</f>
        <v>390000</v>
      </c>
      <c r="AA34" s="47">
        <f>IF((ROUNDDOWN((+Z34*6%)*45%,-1))&gt;=1000,(ROUNDDOWN((+Z34*6%)*45%,-1)),0)</f>
        <v>10530</v>
      </c>
      <c r="AB34" s="18">
        <f>IFERROR(IF(DATEDIF(DATE(MID(C34,1,2),MID(C34,3,2),MID(C34,5,2)),$W$2,"y")&gt;=60,0,IF(OR(V34&gt;=8,X34&gt;=2200000),TRUNC(X34*4.5%,-1),0)),0)</f>
        <v>0</v>
      </c>
      <c r="AC34" s="18">
        <f>IFERROR(IF(AND((DATEDIF(TEXT(LEFT(C34,6),"00-00-00"),$W$2,"Y")&gt;19),(DATEDIF(TEXT(LEFT(C34,6),"00-00-00"),$W$2,"Y")&lt;65)),TRUNC(X34*0.9%,-1),0),0)</f>
        <v>0</v>
      </c>
      <c r="AD34" s="61">
        <f>SUM(AA34:AC35)</f>
        <v>105270</v>
      </c>
      <c r="AE34" s="62">
        <f>+X34-AD34</f>
        <v>2234730</v>
      </c>
      <c r="AF34" s="64"/>
      <c r="AG34" s="65" t="str">
        <f t="shared" ref="AG34" si="14">IF(ISERROR(DATEDIF((DATEVALUE(LEFT(C34,2)&amp;"-"&amp;MID(C34,3,2)&amp;"-"&amp;MID(C34,5,2))),$W$2,"y")),"",DATEDIF((DATEVALUE(LEFT(C34,2)&amp;"-"&amp;MID(C34,3,2)&amp;"-"&amp;MID(C34,5,2))),$W$2,"y"))</f>
        <v/>
      </c>
      <c r="AH34" s="5">
        <v>1</v>
      </c>
      <c r="AI34" s="21">
        <f t="shared" si="1"/>
        <v>1</v>
      </c>
      <c r="AJ34" s="19"/>
      <c r="AK34" s="19"/>
      <c r="AL34" s="19"/>
      <c r="AM34" s="20"/>
      <c r="AN34" s="20"/>
    </row>
    <row r="35" spans="1:40" ht="24.95" customHeight="1" x14ac:dyDescent="0.3">
      <c r="A35" s="66"/>
      <c r="B35" s="67"/>
      <c r="C35" s="45"/>
      <c r="D35" s="70"/>
      <c r="E35" s="71"/>
      <c r="F35" s="14">
        <v>1</v>
      </c>
      <c r="G35" s="14">
        <v>1</v>
      </c>
      <c r="H35" s="14">
        <v>1</v>
      </c>
      <c r="I35" s="14">
        <v>1</v>
      </c>
      <c r="J35" s="14">
        <v>1</v>
      </c>
      <c r="K35" s="14">
        <v>1</v>
      </c>
      <c r="L35" s="14"/>
      <c r="M35" s="14">
        <v>1</v>
      </c>
      <c r="N35" s="14">
        <v>1</v>
      </c>
      <c r="O35" s="14">
        <v>1</v>
      </c>
      <c r="P35" s="14"/>
      <c r="Q35" s="14"/>
      <c r="R35" s="14"/>
      <c r="S35" s="14"/>
      <c r="T35" s="14"/>
      <c r="U35" s="14"/>
      <c r="V35" s="73"/>
      <c r="W35" s="75"/>
      <c r="X35" s="59"/>
      <c r="Y35" s="46">
        <f>IF((F35*W34)&gt;=150000,(F35*W34)-150000,0)+IF((G35*W34)&gt;=150000,(G35*W34)-150000,0)+IF((H35*W34)&gt;=150000,(H35*W34)-150000,0)+IF((I35*W34)&gt;=150000,(I35*W34)-150000,0)+IF((J35*W34)&gt;=150000,(J35*W34)-150000,0)+IF((K35*W34)&gt;=150000,(K35*W34)-150000,0)+IF((L35*W34)&gt;=150000,(L35*W34)-150000,0)+IF((M35*W34)&gt;=150000,(M35*W34)-150000,0)+IF((N35*W34)&gt;=150000,(N35*W34)-150000,0)+IF((O35*W34)&gt;=150000,(O35*W34)-150000,0)+IF((P35*W34)&gt;=150000,(P35*W34)-150000,0)+IF((Q35*W34)&gt;=150000,(Q35*W34)-150000,0)+IF((R35*W34)&gt;=150000,(R35*W34)-150000,0)+IF((S35*W34)&gt;=150000,(S35*W34)-150000,0)+IF((T35*W34)&gt;=150000,(T35*W34)-150000,0)+IF((U35*W34)&gt;=150000,(U35*W34)-150000,0)</f>
        <v>270000</v>
      </c>
      <c r="Z35" s="60"/>
      <c r="AA35" s="47">
        <f>ROUNDDOWN(AA34*10%,-1)</f>
        <v>1050</v>
      </c>
      <c r="AB35" s="18">
        <f>IF(V34&lt;8,0,(TRUNC(X34*3.545%,-1)))</f>
        <v>82950</v>
      </c>
      <c r="AC35" s="18">
        <f>TRUNC(((AB35*12.95%)),-1)</f>
        <v>10740</v>
      </c>
      <c r="AD35" s="61"/>
      <c r="AE35" s="63"/>
      <c r="AF35" s="64"/>
      <c r="AG35" s="65"/>
      <c r="AH35" s="5">
        <v>2</v>
      </c>
      <c r="AI35" s="21">
        <f t="shared" si="1"/>
        <v>1</v>
      </c>
      <c r="AJ35" s="19"/>
      <c r="AK35" s="19"/>
      <c r="AL35" s="19"/>
      <c r="AM35" s="20"/>
      <c r="AN35" s="20"/>
    </row>
    <row r="36" spans="1:40" ht="24.95" customHeight="1" x14ac:dyDescent="0.15">
      <c r="A36" s="55">
        <f>IF(B36&gt;0,A34+1,"")</f>
        <v>16</v>
      </c>
      <c r="B36" s="67" t="s">
        <v>69</v>
      </c>
      <c r="C36" s="48"/>
      <c r="D36" s="68"/>
      <c r="E36" s="69"/>
      <c r="F36" s="14"/>
      <c r="G36" s="14"/>
      <c r="H36" s="14"/>
      <c r="I36" s="14"/>
      <c r="J36" s="14"/>
      <c r="K36" s="14"/>
      <c r="L36" s="14"/>
      <c r="M36" s="14"/>
      <c r="N36" s="14"/>
      <c r="O36" s="14"/>
      <c r="P36" s="14"/>
      <c r="Q36" s="14"/>
      <c r="R36" s="14"/>
      <c r="S36" s="14"/>
      <c r="T36" s="14"/>
      <c r="U36" s="15"/>
      <c r="V36" s="72">
        <f>SUM(F36:U37)</f>
        <v>4</v>
      </c>
      <c r="W36" s="74">
        <v>180000</v>
      </c>
      <c r="X36" s="58">
        <f>V36*W36</f>
        <v>720000</v>
      </c>
      <c r="Y36" s="46">
        <f>IF((F36*W36)&gt;=150000,(F36*W36)-150000,0)+IF((G36*W36)&gt;=150000,(G36*W36)-150000,0)+IF((H36*W36)&gt;=150000,(H36*W36)-150000,0)+IF((I36*W36)&gt;=150000,(I36*W36)-150000,0)+IF((J36*W36)&gt;=150000,(J36*W36)-150000,0)+IF((K36*W36)&gt;=150000,(K36*W36)-150000,0)+IF((L36*W36)&gt;=150000,(L36*W36)-150000,0)+IF((M36*W36)&gt;=150000,(M36*W36)-150000,0)+IF((N36*W36)&gt;=150000,(N36*W36)-150000,0)+IF((O36*W36)&gt;=150000,(O36*W36)-150000,0)+IF((P36*W36)&gt;=150000,(P36*W36)-150000,0)+IF((Q36*W36)&gt;=150000,(Q36*W36)-150000,0)+IF((R36*W36)&gt;=150000,(R36*W36)-150000,0)+IF((S36*W36)&gt;=150000,(S36*W36)-150000,0)+IF((T36*W36)&gt;=150000,(T36*W36)-150000,0)</f>
        <v>0</v>
      </c>
      <c r="Z36" s="60">
        <f>+Y36+Y37</f>
        <v>120000</v>
      </c>
      <c r="AA36" s="47">
        <f>IF((ROUNDDOWN((+Z36*6%)*45%,-1))&gt;=1000,(ROUNDDOWN((+Z36*6%)*45%,-1)),0)</f>
        <v>3240</v>
      </c>
      <c r="AB36" s="18">
        <f>IFERROR(IF(DATEDIF(DATE(MID(C36,1,2),MID(C36,3,2),MID(C36,5,2)),$W$2,"y")&gt;=60,0,IF(OR(V36&gt;=8,X36&gt;=2200000),TRUNC(X36*4.5%,-1),0)),0)</f>
        <v>0</v>
      </c>
      <c r="AC36" s="18">
        <f>IFERROR(IF(AND((DATEDIF(TEXT(LEFT(C36,6),"00-00-00"),$W$2,"Y")&gt;19),(DATEDIF(TEXT(LEFT(C36,6),"00-00-00"),$W$2,"Y")&lt;65)),TRUNC(X36*0.9%,-1),0),0)</f>
        <v>0</v>
      </c>
      <c r="AD36" s="61">
        <f>SUM(AA36:AC37)</f>
        <v>3560</v>
      </c>
      <c r="AE36" s="62">
        <f>+X36-AD36</f>
        <v>716440</v>
      </c>
      <c r="AF36" s="64"/>
      <c r="AG36" s="65" t="str">
        <f t="shared" ref="AG36" si="15">IF(ISERROR(DATEDIF((DATEVALUE(LEFT(C36,2)&amp;"-"&amp;MID(C36,3,2)&amp;"-"&amp;MID(C36,5,2))),$W$2,"y")),"",DATEDIF((DATEVALUE(LEFT(C36,2)&amp;"-"&amp;MID(C36,3,2)&amp;"-"&amp;MID(C36,5,2))),$W$2,"y"))</f>
        <v/>
      </c>
      <c r="AH36" s="5">
        <v>1</v>
      </c>
      <c r="AI36" s="21">
        <f t="shared" si="1"/>
        <v>1</v>
      </c>
      <c r="AJ36" s="19"/>
      <c r="AK36" s="19"/>
      <c r="AL36" s="19"/>
      <c r="AM36" s="20"/>
      <c r="AN36" s="20"/>
    </row>
    <row r="37" spans="1:40" ht="24.95" customHeight="1" x14ac:dyDescent="0.3">
      <c r="A37" s="66"/>
      <c r="B37" s="67"/>
      <c r="C37" s="45"/>
      <c r="D37" s="70"/>
      <c r="E37" s="71"/>
      <c r="F37" s="14">
        <v>1</v>
      </c>
      <c r="G37" s="14">
        <v>1</v>
      </c>
      <c r="H37" s="14"/>
      <c r="I37" s="14"/>
      <c r="J37" s="14"/>
      <c r="K37" s="14"/>
      <c r="L37" s="14"/>
      <c r="M37" s="14"/>
      <c r="N37" s="14">
        <v>1</v>
      </c>
      <c r="O37" s="14"/>
      <c r="P37" s="14"/>
      <c r="Q37" s="14"/>
      <c r="R37" s="14"/>
      <c r="S37" s="14"/>
      <c r="T37" s="14">
        <v>1</v>
      </c>
      <c r="U37" s="14"/>
      <c r="V37" s="73"/>
      <c r="W37" s="75"/>
      <c r="X37" s="59"/>
      <c r="Y37" s="46">
        <f>IF((F37*W36)&gt;=150000,(F37*W36)-150000,0)+IF((G37*W36)&gt;=150000,(G37*W36)-150000,0)+IF((H37*W36)&gt;=150000,(H37*W36)-150000,0)+IF((I37*W36)&gt;=150000,(I37*W36)-150000,0)+IF((J37*W36)&gt;=150000,(J37*W36)-150000,0)+IF((K37*W36)&gt;=150000,(K37*W36)-150000,0)+IF((L37*W36)&gt;=150000,(L37*W36)-150000,0)+IF((M37*W36)&gt;=150000,(M37*W36)-150000,0)+IF((N37*W36)&gt;=150000,(N37*W36)-150000,0)+IF((O37*W36)&gt;=150000,(O37*W36)-150000,0)+IF((P37*W36)&gt;=150000,(P37*W36)-150000,0)+IF((Q37*W36)&gt;=150000,(Q37*W36)-150000,0)+IF((R37*W36)&gt;=150000,(R37*W36)-150000,0)+IF((S37*W36)&gt;=150000,(S37*W36)-150000,0)+IF((T37*W36)&gt;=150000,(T37*W36)-150000,0)+IF((U37*W36)&gt;=150000,(U37*W36)-150000,0)</f>
        <v>120000</v>
      </c>
      <c r="Z37" s="60"/>
      <c r="AA37" s="47">
        <f>ROUNDDOWN(AA36*10%,-1)</f>
        <v>320</v>
      </c>
      <c r="AB37" s="18">
        <f>IF(V36&lt;8,0,(TRUNC(X36*3.545%,-1)))</f>
        <v>0</v>
      </c>
      <c r="AC37" s="18">
        <f>TRUNC(((AB37*12.95%)),-1)</f>
        <v>0</v>
      </c>
      <c r="AD37" s="61"/>
      <c r="AE37" s="63"/>
      <c r="AF37" s="64"/>
      <c r="AG37" s="65"/>
      <c r="AH37" s="5">
        <v>2</v>
      </c>
      <c r="AI37" s="21">
        <f t="shared" si="1"/>
        <v>1</v>
      </c>
      <c r="AJ37" s="19"/>
      <c r="AK37" s="19"/>
      <c r="AL37" s="19"/>
      <c r="AM37" s="20"/>
      <c r="AN37" s="20"/>
    </row>
    <row r="38" spans="1:40" ht="24.95" customHeight="1" x14ac:dyDescent="0.15">
      <c r="A38" s="55">
        <f>IF(B38&gt;0,A36+1,"")</f>
        <v>17</v>
      </c>
      <c r="B38" s="67" t="s">
        <v>70</v>
      </c>
      <c r="C38" s="48"/>
      <c r="D38" s="68"/>
      <c r="E38" s="69"/>
      <c r="F38" s="14"/>
      <c r="G38" s="14"/>
      <c r="H38" s="14"/>
      <c r="I38" s="14"/>
      <c r="J38" s="14"/>
      <c r="K38" s="14"/>
      <c r="L38" s="14"/>
      <c r="M38" s="14"/>
      <c r="N38" s="14">
        <v>1</v>
      </c>
      <c r="O38" s="14">
        <v>1</v>
      </c>
      <c r="P38" s="14">
        <v>1</v>
      </c>
      <c r="Q38" s="14">
        <v>1</v>
      </c>
      <c r="R38" s="14"/>
      <c r="S38" s="14"/>
      <c r="T38" s="14"/>
      <c r="U38" s="15"/>
      <c r="V38" s="72">
        <f>SUM(F38:U39)</f>
        <v>10</v>
      </c>
      <c r="W38" s="74">
        <v>180000</v>
      </c>
      <c r="X38" s="58">
        <f>V38*W38</f>
        <v>1800000</v>
      </c>
      <c r="Y38" s="46">
        <f>IF((F38*W38)&gt;=150000,(F38*W38)-150000,0)+IF((G38*W38)&gt;=150000,(G38*W38)-150000,0)+IF((H38*W38)&gt;=150000,(H38*W38)-150000,0)+IF((I38*W38)&gt;=150000,(I38*W38)-150000,0)+IF((J38*W38)&gt;=150000,(J38*W38)-150000,0)+IF((K38*W38)&gt;=150000,(K38*W38)-150000,0)+IF((L38*W38)&gt;=150000,(L38*W38)-150000,0)+IF((M38*W38)&gt;=150000,(M38*W38)-150000,0)+IF((N38*W38)&gt;=150000,(N38*W38)-150000,0)+IF((O38*W38)&gt;=150000,(O38*W38)-150000,0)+IF((P38*W38)&gt;=150000,(P38*W38)-150000,0)+IF((Q38*W38)&gt;=150000,(Q38*W38)-150000,0)+IF((R38*W38)&gt;=150000,(R38*W38)-150000,0)+IF((S38*W38)&gt;=150000,(S38*W38)-150000,0)+IF((T38*W38)&gt;=150000,(T38*W38)-150000,0)</f>
        <v>120000</v>
      </c>
      <c r="Z38" s="60">
        <f>+Y38+Y39</f>
        <v>300000</v>
      </c>
      <c r="AA38" s="47">
        <f>IF((ROUNDDOWN((+Z38*6%)*45%,-1))&gt;=1000,(ROUNDDOWN((+Z38*6%)*45%,-1)),0)</f>
        <v>8100</v>
      </c>
      <c r="AB38" s="18">
        <f>IFERROR(IF(DATEDIF(DATE(MID(C38,1,2),MID(C38,3,2),MID(C38,5,2)),$W$2,"y")&gt;=60,0,IF(OR(V38&gt;=8,X38&gt;=2200000),TRUNC(X38*4.5%,-1),0)),0)</f>
        <v>0</v>
      </c>
      <c r="AC38" s="18">
        <f>IFERROR(IF(AND((DATEDIF(TEXT(LEFT(C38,6),"00-00-00"),$W$2,"Y")&gt;19),(DATEDIF(TEXT(LEFT(C38,6),"00-00-00"),$W$2,"Y")&lt;65)),TRUNC(X38*0.9%,-1),0),0)</f>
        <v>0</v>
      </c>
      <c r="AD38" s="61">
        <f>SUM(AA38:AC39)</f>
        <v>80980</v>
      </c>
      <c r="AE38" s="62">
        <f>+X38-AD38</f>
        <v>1719020</v>
      </c>
      <c r="AF38" s="64"/>
      <c r="AG38" s="65" t="str">
        <f t="shared" ref="AG38" si="16">IF(ISERROR(DATEDIF((DATEVALUE(LEFT(C38,2)&amp;"-"&amp;MID(C38,3,2)&amp;"-"&amp;MID(C38,5,2))),$W$2,"y")),"",DATEDIF((DATEVALUE(LEFT(C38,2)&amp;"-"&amp;MID(C38,3,2)&amp;"-"&amp;MID(C38,5,2))),$W$2,"y"))</f>
        <v/>
      </c>
      <c r="AH38" s="5">
        <v>1</v>
      </c>
      <c r="AI38" s="21">
        <f t="shared" si="1"/>
        <v>1</v>
      </c>
      <c r="AJ38" s="19"/>
      <c r="AK38" s="19"/>
      <c r="AL38" s="19"/>
      <c r="AM38" s="20"/>
      <c r="AN38" s="20"/>
    </row>
    <row r="39" spans="1:40" ht="24.95" customHeight="1" x14ac:dyDescent="0.3">
      <c r="A39" s="66"/>
      <c r="B39" s="67"/>
      <c r="C39" s="45"/>
      <c r="D39" s="70"/>
      <c r="E39" s="71"/>
      <c r="F39" s="14"/>
      <c r="G39" s="14"/>
      <c r="H39" s="14">
        <v>1</v>
      </c>
      <c r="I39" s="14">
        <v>1</v>
      </c>
      <c r="J39" s="14">
        <v>1</v>
      </c>
      <c r="K39" s="14"/>
      <c r="L39" s="14"/>
      <c r="M39" s="14">
        <v>1</v>
      </c>
      <c r="N39" s="14">
        <v>1</v>
      </c>
      <c r="O39" s="14">
        <v>1</v>
      </c>
      <c r="P39" s="14"/>
      <c r="Q39" s="14"/>
      <c r="R39" s="14"/>
      <c r="S39" s="14"/>
      <c r="T39" s="14"/>
      <c r="U39" s="14"/>
      <c r="V39" s="73"/>
      <c r="W39" s="75"/>
      <c r="X39" s="59"/>
      <c r="Y39" s="46">
        <f>IF((F39*W38)&gt;=150000,(F39*W38)-150000,0)+IF((G39*W38)&gt;=150000,(G39*W38)-150000,0)+IF((H39*W38)&gt;=150000,(H39*W38)-150000,0)+IF((I39*W38)&gt;=150000,(I39*W38)-150000,0)+IF((J39*W38)&gt;=150000,(J39*W38)-150000,0)+IF((K39*W38)&gt;=150000,(K39*W38)-150000,0)+IF((L39*W38)&gt;=150000,(L39*W38)-150000,0)+IF((M39*W38)&gt;=150000,(M39*W38)-150000,0)+IF((N39*W38)&gt;=150000,(N39*W38)-150000,0)+IF((O39*W38)&gt;=150000,(O39*W38)-150000,0)+IF((P39*W38)&gt;=150000,(P39*W38)-150000,0)+IF((Q39*W38)&gt;=150000,(Q39*W38)-150000,0)+IF((R39*W38)&gt;=150000,(R39*W38)-150000,0)+IF((S39*W38)&gt;=150000,(S39*W38)-150000,0)+IF((T39*W38)&gt;=150000,(T39*W38)-150000,0)+IF((U39*W38)&gt;=150000,(U39*W38)-150000,0)</f>
        <v>180000</v>
      </c>
      <c r="Z39" s="60"/>
      <c r="AA39" s="47">
        <f>ROUNDDOWN(AA38*10%,-1)</f>
        <v>810</v>
      </c>
      <c r="AB39" s="18">
        <f>IF(V38&lt;8,0,(TRUNC(X38*3.545%,-1)))</f>
        <v>63810</v>
      </c>
      <c r="AC39" s="18">
        <f>TRUNC(((AB39*12.95%)),-1)</f>
        <v>8260</v>
      </c>
      <c r="AD39" s="61"/>
      <c r="AE39" s="63"/>
      <c r="AF39" s="64"/>
      <c r="AG39" s="65"/>
      <c r="AH39" s="5">
        <v>2</v>
      </c>
      <c r="AI39" s="21">
        <f t="shared" si="1"/>
        <v>1</v>
      </c>
      <c r="AJ39" s="19"/>
      <c r="AK39" s="19"/>
      <c r="AL39" s="19"/>
      <c r="AM39" s="20"/>
      <c r="AN39" s="20"/>
    </row>
    <row r="40" spans="1:40" ht="24.95" customHeight="1" x14ac:dyDescent="0.15">
      <c r="A40" s="55">
        <f>IF(B40&gt;0,A38+1,"")</f>
        <v>18</v>
      </c>
      <c r="B40" s="67" t="s">
        <v>71</v>
      </c>
      <c r="C40" s="48"/>
      <c r="D40" s="68"/>
      <c r="E40" s="69"/>
      <c r="F40" s="14"/>
      <c r="G40" s="14"/>
      <c r="H40" s="14">
        <v>1</v>
      </c>
      <c r="I40" s="14">
        <v>1</v>
      </c>
      <c r="J40" s="14">
        <v>1</v>
      </c>
      <c r="K40" s="14"/>
      <c r="L40" s="14"/>
      <c r="M40" s="14"/>
      <c r="N40" s="14">
        <v>1</v>
      </c>
      <c r="O40" s="14">
        <v>1</v>
      </c>
      <c r="P40" s="14">
        <v>1</v>
      </c>
      <c r="Q40" s="14">
        <v>1</v>
      </c>
      <c r="R40" s="14">
        <v>1</v>
      </c>
      <c r="S40" s="14">
        <v>1</v>
      </c>
      <c r="T40" s="14"/>
      <c r="U40" s="15"/>
      <c r="V40" s="72">
        <f>SUM(F40:U41)</f>
        <v>20</v>
      </c>
      <c r="W40" s="74">
        <v>180000</v>
      </c>
      <c r="X40" s="58">
        <f>V40*W40</f>
        <v>3600000</v>
      </c>
      <c r="Y40" s="46">
        <f>IF((F40*W40)&gt;=150000,(F40*W40)-150000,0)+IF((G40*W40)&gt;=150000,(G40*W40)-150000,0)+IF((H40*W40)&gt;=150000,(H40*W40)-150000,0)+IF((I40*W40)&gt;=150000,(I40*W40)-150000,0)+IF((J40*W40)&gt;=150000,(J40*W40)-150000,0)+IF((K40*W40)&gt;=150000,(K40*W40)-150000,0)+IF((L40*W40)&gt;=150000,(L40*W40)-150000,0)+IF((M40*W40)&gt;=150000,(M40*W40)-150000,0)+IF((N40*W40)&gt;=150000,(N40*W40)-150000,0)+IF((O40*W40)&gt;=150000,(O40*W40)-150000,0)+IF((P40*W40)&gt;=150000,(P40*W40)-150000,0)+IF((Q40*W40)&gt;=150000,(Q40*W40)-150000,0)+IF((R40*W40)&gt;=150000,(R40*W40)-150000,0)+IF((S40*W40)&gt;=150000,(S40*W40)-150000,0)+IF((T40*W40)&gt;=150000,(T40*W40)-150000,0)</f>
        <v>270000</v>
      </c>
      <c r="Z40" s="60">
        <f>+Y40+Y41</f>
        <v>600000</v>
      </c>
      <c r="AA40" s="47">
        <f>IF((ROUNDDOWN((+Z40*6%)*45%,-1))&gt;=1000,(ROUNDDOWN((+Z40*6%)*45%,-1)),0)</f>
        <v>16200</v>
      </c>
      <c r="AB40" s="18">
        <f>IFERROR(IF(DATEDIF(DATE(MID(C40,1,2),MID(C40,3,2),MID(C40,5,2)),$W$2,"y")&gt;=60,0,IF(OR(V40&gt;=8,X40&gt;=2200000),TRUNC(X40*4.5%,-1),0)),0)</f>
        <v>0</v>
      </c>
      <c r="AC40" s="18">
        <f>IFERROR(IF(AND((DATEDIF(TEXT(LEFT(C40,6),"00-00-00"),$W$2,"Y")&gt;19),(DATEDIF(TEXT(LEFT(C40,6),"00-00-00"),$W$2,"Y")&lt;65)),TRUNC(X40*0.9%,-1),0),0)</f>
        <v>0</v>
      </c>
      <c r="AD40" s="61">
        <f>SUM(AA40:AC41)</f>
        <v>161960</v>
      </c>
      <c r="AE40" s="62">
        <f>+X40-AD40</f>
        <v>3438040</v>
      </c>
      <c r="AF40" s="64"/>
      <c r="AG40" s="65" t="str">
        <f t="shared" ref="AG40" si="17">IF(ISERROR(DATEDIF((DATEVALUE(LEFT(C40,2)&amp;"-"&amp;MID(C40,3,2)&amp;"-"&amp;MID(C40,5,2))),$W$2,"y")),"",DATEDIF((DATEVALUE(LEFT(C40,2)&amp;"-"&amp;MID(C40,3,2)&amp;"-"&amp;MID(C40,5,2))),$W$2,"y"))</f>
        <v/>
      </c>
      <c r="AH40" s="5">
        <v>1</v>
      </c>
      <c r="AI40" s="21">
        <f t="shared" si="1"/>
        <v>1</v>
      </c>
      <c r="AJ40" s="19"/>
      <c r="AK40" s="19"/>
      <c r="AL40" s="19"/>
      <c r="AM40" s="20"/>
      <c r="AN40" s="20"/>
    </row>
    <row r="41" spans="1:40" ht="24.95" customHeight="1" x14ac:dyDescent="0.3">
      <c r="A41" s="66"/>
      <c r="B41" s="67"/>
      <c r="C41" s="45"/>
      <c r="D41" s="70"/>
      <c r="E41" s="71"/>
      <c r="F41" s="14">
        <v>1</v>
      </c>
      <c r="G41" s="14">
        <v>1</v>
      </c>
      <c r="H41" s="14">
        <v>1</v>
      </c>
      <c r="I41" s="14">
        <v>1</v>
      </c>
      <c r="J41" s="14">
        <v>1</v>
      </c>
      <c r="K41" s="14">
        <v>1</v>
      </c>
      <c r="L41" s="14"/>
      <c r="M41" s="14">
        <v>1</v>
      </c>
      <c r="N41" s="14">
        <v>1</v>
      </c>
      <c r="O41" s="14">
        <v>1</v>
      </c>
      <c r="P41" s="14">
        <v>1</v>
      </c>
      <c r="Q41" s="14">
        <v>1</v>
      </c>
      <c r="R41" s="14"/>
      <c r="S41" s="14"/>
      <c r="T41" s="14"/>
      <c r="U41" s="14"/>
      <c r="V41" s="73"/>
      <c r="W41" s="75"/>
      <c r="X41" s="59"/>
      <c r="Y41" s="46">
        <f>IF((F41*W40)&gt;=150000,(F41*W40)-150000,0)+IF((G41*W40)&gt;=150000,(G41*W40)-150000,0)+IF((H41*W40)&gt;=150000,(H41*W40)-150000,0)+IF((I41*W40)&gt;=150000,(I41*W40)-150000,0)+IF((J41*W40)&gt;=150000,(J41*W40)-150000,0)+IF((K41*W40)&gt;=150000,(K41*W40)-150000,0)+IF((L41*W40)&gt;=150000,(L41*W40)-150000,0)+IF((M41*W40)&gt;=150000,(M41*W40)-150000,0)+IF((N41*W40)&gt;=150000,(N41*W40)-150000,0)+IF((O41*W40)&gt;=150000,(O41*W40)-150000,0)+IF((P41*W40)&gt;=150000,(P41*W40)-150000,0)+IF((Q41*W40)&gt;=150000,(Q41*W40)-150000,0)+IF((R41*W40)&gt;=150000,(R41*W40)-150000,0)+IF((S41*W40)&gt;=150000,(S41*W40)-150000,0)+IF((T41*W40)&gt;=150000,(T41*W40)-150000,0)+IF((U41*W40)&gt;=150000,(U41*W40)-150000,0)</f>
        <v>330000</v>
      </c>
      <c r="Z41" s="60"/>
      <c r="AA41" s="47">
        <f>ROUNDDOWN(AA40*10%,-1)</f>
        <v>1620</v>
      </c>
      <c r="AB41" s="18">
        <f>IF(V40&lt;8,0,(TRUNC(X40*3.545%,-1)))</f>
        <v>127620</v>
      </c>
      <c r="AC41" s="18">
        <f>TRUNC(((AB41*12.95%)),-1)</f>
        <v>16520</v>
      </c>
      <c r="AD41" s="61"/>
      <c r="AE41" s="63"/>
      <c r="AF41" s="64"/>
      <c r="AG41" s="65"/>
      <c r="AH41" s="5">
        <v>2</v>
      </c>
      <c r="AI41" s="21">
        <f t="shared" si="1"/>
        <v>1</v>
      </c>
      <c r="AJ41" s="19"/>
      <c r="AK41" s="19"/>
      <c r="AL41" s="19"/>
      <c r="AM41" s="20"/>
      <c r="AN41" s="20"/>
    </row>
    <row r="42" spans="1:40" ht="24.95" customHeight="1" x14ac:dyDescent="0.15">
      <c r="A42" s="55">
        <f>IF(B42&gt;0,A40+1,"")</f>
        <v>19</v>
      </c>
      <c r="B42" s="67" t="s">
        <v>72</v>
      </c>
      <c r="C42" s="48"/>
      <c r="D42" s="68"/>
      <c r="E42" s="69"/>
      <c r="F42" s="14"/>
      <c r="G42" s="14"/>
      <c r="H42" s="14"/>
      <c r="I42" s="14"/>
      <c r="J42" s="14"/>
      <c r="K42" s="14"/>
      <c r="L42" s="14"/>
      <c r="M42" s="14"/>
      <c r="N42" s="14">
        <v>1</v>
      </c>
      <c r="O42" s="14">
        <v>1</v>
      </c>
      <c r="P42" s="14">
        <v>1</v>
      </c>
      <c r="Q42" s="14"/>
      <c r="R42" s="14"/>
      <c r="S42" s="14"/>
      <c r="T42" s="14"/>
      <c r="U42" s="15"/>
      <c r="V42" s="72">
        <f>SUM(F42:U43)</f>
        <v>3</v>
      </c>
      <c r="W42" s="74">
        <v>180000</v>
      </c>
      <c r="X42" s="58">
        <f>V42*W42</f>
        <v>540000</v>
      </c>
      <c r="Y42" s="46">
        <f>IF((F42*W42)&gt;=150000,(F42*W42)-150000,0)+IF((G42*W42)&gt;=150000,(G42*W42)-150000,0)+IF((H42*W42)&gt;=150000,(H42*W42)-150000,0)+IF((I42*W42)&gt;=150000,(I42*W42)-150000,0)+IF((J42*W42)&gt;=150000,(J42*W42)-150000,0)+IF((K42*W42)&gt;=150000,(K42*W42)-150000,0)+IF((L42*W42)&gt;=150000,(L42*W42)-150000,0)+IF((M42*W42)&gt;=150000,(M42*W42)-150000,0)+IF((N42*W42)&gt;=150000,(N42*W42)-150000,0)+IF((O42*W42)&gt;=150000,(O42*W42)-150000,0)+IF((P42*W42)&gt;=150000,(P42*W42)-150000,0)+IF((Q42*W42)&gt;=150000,(Q42*W42)-150000,0)+IF((R42*W42)&gt;=150000,(R42*W42)-150000,0)+IF((S42*W42)&gt;=150000,(S42*W42)-150000,0)+IF((T42*W42)&gt;=150000,(T42*W42)-150000,0)</f>
        <v>90000</v>
      </c>
      <c r="Z42" s="60">
        <f>+Y42+Y43</f>
        <v>90000</v>
      </c>
      <c r="AA42" s="47">
        <f>IF((ROUNDDOWN((+Z42*6%)*45%,-1))&gt;=1000,(ROUNDDOWN((+Z42*6%)*45%,-1)),0)</f>
        <v>2430</v>
      </c>
      <c r="AB42" s="18">
        <f>IFERROR(IF(DATEDIF(DATE(MID(C42,1,2),MID(C42,3,2),MID(C42,5,2)),$W$2,"y")&gt;=60,0,IF(OR(V42&gt;=8,X42&gt;=2200000),TRUNC(X42*4.5%,-1),0)),0)</f>
        <v>0</v>
      </c>
      <c r="AC42" s="18">
        <f>IFERROR(IF(AND((DATEDIF(TEXT(LEFT(C42,6),"00-00-00"),$W$2,"Y")&gt;19),(DATEDIF(TEXT(LEFT(C42,6),"00-00-00"),$W$2,"Y")&lt;65)),TRUNC(X42*0.9%,-1),0),0)</f>
        <v>0</v>
      </c>
      <c r="AD42" s="61">
        <f>SUM(AA42:AC43)</f>
        <v>2670</v>
      </c>
      <c r="AE42" s="62">
        <f>+X42-AD42</f>
        <v>537330</v>
      </c>
      <c r="AF42" s="64"/>
      <c r="AG42" s="65" t="str">
        <f t="shared" ref="AG42" si="18">IF(ISERROR(DATEDIF((DATEVALUE(LEFT(C42,2)&amp;"-"&amp;MID(C42,3,2)&amp;"-"&amp;MID(C42,5,2))),$W$2,"y")),"",DATEDIF((DATEVALUE(LEFT(C42,2)&amp;"-"&amp;MID(C42,3,2)&amp;"-"&amp;MID(C42,5,2))),$W$2,"y"))</f>
        <v/>
      </c>
      <c r="AH42" s="5">
        <v>1</v>
      </c>
      <c r="AI42" s="21">
        <f t="shared" si="1"/>
        <v>1</v>
      </c>
      <c r="AJ42" s="19"/>
      <c r="AK42" s="19"/>
      <c r="AL42" s="19"/>
      <c r="AM42" s="20"/>
      <c r="AN42" s="20"/>
    </row>
    <row r="43" spans="1:40" ht="24.95" customHeight="1" x14ac:dyDescent="0.3">
      <c r="A43" s="66"/>
      <c r="B43" s="67"/>
      <c r="C43" s="45"/>
      <c r="D43" s="70"/>
      <c r="E43" s="71"/>
      <c r="F43" s="14"/>
      <c r="G43" s="14"/>
      <c r="H43" s="14"/>
      <c r="I43" s="14"/>
      <c r="J43" s="14"/>
      <c r="K43" s="14"/>
      <c r="L43" s="14"/>
      <c r="M43" s="14"/>
      <c r="N43" s="14"/>
      <c r="O43" s="14"/>
      <c r="P43" s="14"/>
      <c r="Q43" s="14"/>
      <c r="R43" s="14"/>
      <c r="S43" s="14"/>
      <c r="T43" s="14"/>
      <c r="U43" s="14"/>
      <c r="V43" s="73"/>
      <c r="W43" s="75"/>
      <c r="X43" s="59"/>
      <c r="Y43" s="46">
        <f>IF((F43*W42)&gt;=150000,(F43*W42)-150000,0)+IF((G43*W42)&gt;=150000,(G43*W42)-150000,0)+IF((H43*W42)&gt;=150000,(H43*W42)-150000,0)+IF((I43*W42)&gt;=150000,(I43*W42)-150000,0)+IF((J43*W42)&gt;=150000,(J43*W42)-150000,0)+IF((K43*W42)&gt;=150000,(K43*W42)-150000,0)+IF((L43*W42)&gt;=150000,(L43*W42)-150000,0)+IF((M43*W42)&gt;=150000,(M43*W42)-150000,0)+IF((N43*W42)&gt;=150000,(N43*W42)-150000,0)+IF((O43*W42)&gt;=150000,(O43*W42)-150000,0)+IF((P43*W42)&gt;=150000,(P43*W42)-150000,0)+IF((Q43*W42)&gt;=150000,(Q43*W42)-150000,0)+IF((R43*W42)&gt;=150000,(R43*W42)-150000,0)+IF((S43*W42)&gt;=150000,(S43*W42)-150000,0)+IF((T43*W42)&gt;=150000,(T43*W42)-150000,0)+IF((U43*W42)&gt;=150000,(U43*W42)-150000,0)</f>
        <v>0</v>
      </c>
      <c r="Z43" s="60"/>
      <c r="AA43" s="47">
        <f>ROUNDDOWN(AA42*10%,-1)</f>
        <v>240</v>
      </c>
      <c r="AB43" s="18">
        <f>IF(V42&lt;8,0,(TRUNC(X42*3.545%,-1)))</f>
        <v>0</v>
      </c>
      <c r="AC43" s="18">
        <f>TRUNC(((AB43*12.95%)),-1)</f>
        <v>0</v>
      </c>
      <c r="AD43" s="61"/>
      <c r="AE43" s="63"/>
      <c r="AF43" s="64"/>
      <c r="AG43" s="65"/>
      <c r="AH43" s="5">
        <v>2</v>
      </c>
      <c r="AI43" s="21">
        <f t="shared" si="1"/>
        <v>1</v>
      </c>
      <c r="AJ43" s="19"/>
      <c r="AK43" s="19"/>
      <c r="AL43" s="19"/>
      <c r="AM43" s="20"/>
      <c r="AN43" s="20"/>
    </row>
    <row r="44" spans="1:40" ht="24.95" customHeight="1" x14ac:dyDescent="0.15">
      <c r="A44" s="55">
        <f>IF(B44&gt;0,A42+1,"")</f>
        <v>20</v>
      </c>
      <c r="B44" s="67" t="s">
        <v>73</v>
      </c>
      <c r="C44" s="48"/>
      <c r="D44" s="68"/>
      <c r="E44" s="69"/>
      <c r="F44" s="14"/>
      <c r="G44" s="14"/>
      <c r="H44" s="14">
        <v>1</v>
      </c>
      <c r="I44" s="14">
        <v>1</v>
      </c>
      <c r="J44" s="14"/>
      <c r="K44" s="14"/>
      <c r="L44" s="14"/>
      <c r="M44" s="14"/>
      <c r="N44" s="14"/>
      <c r="O44" s="14">
        <v>1</v>
      </c>
      <c r="P44" s="14">
        <v>1</v>
      </c>
      <c r="Q44" s="14">
        <v>1</v>
      </c>
      <c r="R44" s="14">
        <v>1</v>
      </c>
      <c r="S44" s="14"/>
      <c r="T44" s="14"/>
      <c r="U44" s="15"/>
      <c r="V44" s="72">
        <f>SUM(F44:U45)</f>
        <v>10</v>
      </c>
      <c r="W44" s="74">
        <v>180000</v>
      </c>
      <c r="X44" s="58">
        <f>V44*W44</f>
        <v>1800000</v>
      </c>
      <c r="Y44" s="46">
        <f>IF((F44*W44)&gt;=150000,(F44*W44)-150000,0)+IF((G44*W44)&gt;=150000,(G44*W44)-150000,0)+IF((H44*W44)&gt;=150000,(H44*W44)-150000,0)+IF((I44*W44)&gt;=150000,(I44*W44)-150000,0)+IF((J44*W44)&gt;=150000,(J44*W44)-150000,0)+IF((K44*W44)&gt;=150000,(K44*W44)-150000,0)+IF((L44*W44)&gt;=150000,(L44*W44)-150000,0)+IF((M44*W44)&gt;=150000,(M44*W44)-150000,0)+IF((N44*W44)&gt;=150000,(N44*W44)-150000,0)+IF((O44*W44)&gt;=150000,(O44*W44)-150000,0)+IF((P44*W44)&gt;=150000,(P44*W44)-150000,0)+IF((Q44*W44)&gt;=150000,(Q44*W44)-150000,0)+IF((R44*W44)&gt;=150000,(R44*W44)-150000,0)+IF((S44*W44)&gt;=150000,(S44*W44)-150000,0)+IF((T44*W44)&gt;=150000,(T44*W44)-150000,0)</f>
        <v>180000</v>
      </c>
      <c r="Z44" s="60">
        <f>+Y44+Y45</f>
        <v>300000</v>
      </c>
      <c r="AA44" s="47">
        <f>IF((ROUNDDOWN((+Z44*6%)*45%,-1))&gt;=1000,(ROUNDDOWN((+Z44*6%)*45%,-1)),0)</f>
        <v>8100</v>
      </c>
      <c r="AB44" s="18">
        <f>IFERROR(IF(DATEDIF(DATE(MID(C44,1,2),MID(C44,3,2),MID(C44,5,2)),$W$2,"y")&gt;=60,0,IF(OR(V44&gt;=8,X44&gt;=2200000),TRUNC(X44*4.5%,-1),0)),0)</f>
        <v>0</v>
      </c>
      <c r="AC44" s="18">
        <f>IFERROR(IF(AND((DATEDIF(TEXT(LEFT(C44,6),"00-00-00"),$W$2,"Y")&gt;19),(DATEDIF(TEXT(LEFT(C44,6),"00-00-00"),$W$2,"Y")&lt;65)),TRUNC(X44*0.9%,-1),0),0)</f>
        <v>0</v>
      </c>
      <c r="AD44" s="61">
        <f>SUM(AA44:AC45)</f>
        <v>80980</v>
      </c>
      <c r="AE44" s="62">
        <f>+X44-AD44</f>
        <v>1719020</v>
      </c>
      <c r="AF44" s="64"/>
      <c r="AG44" s="65" t="str">
        <f t="shared" ref="AG44" si="19">IF(ISERROR(DATEDIF((DATEVALUE(LEFT(C44,2)&amp;"-"&amp;MID(C44,3,2)&amp;"-"&amp;MID(C44,5,2))),$W$2,"y")),"",DATEDIF((DATEVALUE(LEFT(C44,2)&amp;"-"&amp;MID(C44,3,2)&amp;"-"&amp;MID(C44,5,2))),$W$2,"y"))</f>
        <v/>
      </c>
      <c r="AH44" s="5">
        <v>1</v>
      </c>
      <c r="AI44" s="21">
        <f t="shared" si="1"/>
        <v>1</v>
      </c>
      <c r="AJ44" s="19"/>
      <c r="AK44" s="19"/>
      <c r="AL44" s="19"/>
      <c r="AM44" s="20"/>
      <c r="AN44" s="20"/>
    </row>
    <row r="45" spans="1:40" ht="24.95" customHeight="1" x14ac:dyDescent="0.3">
      <c r="A45" s="66"/>
      <c r="B45" s="67"/>
      <c r="C45" s="45"/>
      <c r="D45" s="70"/>
      <c r="E45" s="71"/>
      <c r="F45" s="14">
        <v>1</v>
      </c>
      <c r="G45" s="14">
        <v>1</v>
      </c>
      <c r="H45" s="14">
        <v>1</v>
      </c>
      <c r="I45" s="14">
        <v>1</v>
      </c>
      <c r="J45" s="14"/>
      <c r="K45" s="14"/>
      <c r="L45" s="14"/>
      <c r="M45" s="14"/>
      <c r="N45" s="14"/>
      <c r="O45" s="14"/>
      <c r="P45" s="14"/>
      <c r="Q45" s="14"/>
      <c r="R45" s="14"/>
      <c r="S45" s="14"/>
      <c r="T45" s="14"/>
      <c r="U45" s="14"/>
      <c r="V45" s="73"/>
      <c r="W45" s="75"/>
      <c r="X45" s="59"/>
      <c r="Y45" s="46">
        <f>IF((F45*W44)&gt;=150000,(F45*W44)-150000,0)+IF((G45*W44)&gt;=150000,(G45*W44)-150000,0)+IF((H45*W44)&gt;=150000,(H45*W44)-150000,0)+IF((I45*W44)&gt;=150000,(I45*W44)-150000,0)+IF((J45*W44)&gt;=150000,(J45*W44)-150000,0)+IF((K45*W44)&gt;=150000,(K45*W44)-150000,0)+IF((L45*W44)&gt;=150000,(L45*W44)-150000,0)+IF((M45*W44)&gt;=150000,(M45*W44)-150000,0)+IF((N45*W44)&gt;=150000,(N45*W44)-150000,0)+IF((O45*W44)&gt;=150000,(O45*W44)-150000,0)+IF((P45*W44)&gt;=150000,(P45*W44)-150000,0)+IF((Q45*W44)&gt;=150000,(Q45*W44)-150000,0)+IF((R45*W44)&gt;=150000,(R45*W44)-150000,0)+IF((S45*W44)&gt;=150000,(S45*W44)-150000,0)+IF((T45*W44)&gt;=150000,(T45*W44)-150000,0)+IF((U45*W44)&gt;=150000,(U45*W44)-150000,0)</f>
        <v>120000</v>
      </c>
      <c r="Z45" s="60"/>
      <c r="AA45" s="47">
        <f>ROUNDDOWN(AA44*10%,-1)</f>
        <v>810</v>
      </c>
      <c r="AB45" s="18">
        <f>IF(V44&lt;8,0,(TRUNC(X44*3.545%,-1)))</f>
        <v>63810</v>
      </c>
      <c r="AC45" s="18">
        <f>TRUNC(((AB45*12.95%)),-1)</f>
        <v>8260</v>
      </c>
      <c r="AD45" s="61"/>
      <c r="AE45" s="63"/>
      <c r="AF45" s="64"/>
      <c r="AG45" s="65"/>
      <c r="AH45" s="5">
        <v>2</v>
      </c>
      <c r="AI45" s="21">
        <f t="shared" si="1"/>
        <v>1</v>
      </c>
      <c r="AJ45" s="19"/>
      <c r="AK45" s="19"/>
      <c r="AL45" s="19"/>
      <c r="AM45" s="20"/>
      <c r="AN45" s="20"/>
    </row>
    <row r="46" spans="1:40" ht="24.95" customHeight="1" x14ac:dyDescent="0.3">
      <c r="A46" s="55" t="s">
        <v>27</v>
      </c>
      <c r="B46" s="55"/>
      <c r="C46" s="55"/>
      <c r="D46" s="55"/>
      <c r="E46" s="55"/>
      <c r="F46" s="56"/>
      <c r="G46" s="56"/>
      <c r="H46" s="56"/>
      <c r="I46" s="56"/>
      <c r="J46" s="56"/>
      <c r="K46" s="56"/>
      <c r="L46" s="56"/>
      <c r="M46" s="56"/>
      <c r="N46" s="56"/>
      <c r="O46" s="56"/>
      <c r="P46" s="56"/>
      <c r="Q46" s="56"/>
      <c r="R46" s="56"/>
      <c r="S46" s="56"/>
      <c r="T46" s="56"/>
      <c r="U46" s="56"/>
      <c r="V46" s="49">
        <f>SUM(V6:V45)</f>
        <v>185</v>
      </c>
      <c r="W46" s="57"/>
      <c r="X46" s="49">
        <f>SUM(X6:X45)</f>
        <v>30160000</v>
      </c>
      <c r="Y46" s="17"/>
      <c r="Z46" s="17"/>
      <c r="AA46" s="17">
        <f>SUMIF($AH$6:$AH$45,1,AA$6:AA$45)</f>
        <v>83700</v>
      </c>
      <c r="AB46" s="17">
        <f>SUMIF($AH$6:$AH$45,1,AB$6:AB$45)</f>
        <v>0</v>
      </c>
      <c r="AC46" s="17">
        <f>SUMIF($AH$6:$AH$45,1,AC$6:AC$45)</f>
        <v>1800</v>
      </c>
      <c r="AD46" s="49">
        <f>SUM(AA46:AC47)</f>
        <v>1143630</v>
      </c>
      <c r="AE46" s="49">
        <f>SUM(AE6:AE45)</f>
        <v>29016370</v>
      </c>
      <c r="AF46" s="50"/>
      <c r="AG46" s="52" t="s">
        <v>28</v>
      </c>
      <c r="AH46" s="54" t="str">
        <f>IF(X46=(AD46+AE46),"^.^","ㅠ.ㅠ")</f>
        <v>^.^</v>
      </c>
      <c r="AI46" s="5">
        <f>IF(AE46&gt;0,1,0)</f>
        <v>1</v>
      </c>
      <c r="AM46" s="20"/>
      <c r="AN46" s="20"/>
    </row>
    <row r="47" spans="1:40" ht="24.95" customHeight="1" x14ac:dyDescent="0.15">
      <c r="A47" s="55"/>
      <c r="B47" s="55"/>
      <c r="C47" s="55"/>
      <c r="D47" s="55"/>
      <c r="E47" s="55"/>
      <c r="F47" s="56"/>
      <c r="G47" s="56"/>
      <c r="H47" s="56"/>
      <c r="I47" s="56"/>
      <c r="J47" s="56"/>
      <c r="K47" s="56"/>
      <c r="L47" s="56"/>
      <c r="M47" s="56"/>
      <c r="N47" s="56"/>
      <c r="O47" s="56"/>
      <c r="P47" s="56"/>
      <c r="Q47" s="56"/>
      <c r="R47" s="56"/>
      <c r="S47" s="56"/>
      <c r="T47" s="56"/>
      <c r="U47" s="56"/>
      <c r="V47" s="49"/>
      <c r="W47" s="57"/>
      <c r="X47" s="49"/>
      <c r="Y47" s="22"/>
      <c r="Z47" s="22"/>
      <c r="AA47" s="17">
        <f>SUMIF($AH$6:$AH$45,2,AA$6:AA$45)</f>
        <v>8340</v>
      </c>
      <c r="AB47" s="17">
        <f>SUMIF($AH$6:$AH$45,2,AB$6:AB$45)</f>
        <v>929480</v>
      </c>
      <c r="AC47" s="17">
        <f>SUMIF($AH$6:$AH$45,2,AC$6:AC$45)</f>
        <v>120310</v>
      </c>
      <c r="AD47" s="49"/>
      <c r="AE47" s="49"/>
      <c r="AF47" s="51"/>
      <c r="AG47" s="53"/>
      <c r="AH47" s="54"/>
      <c r="AI47" s="21">
        <f>AI46</f>
        <v>1</v>
      </c>
      <c r="AM47" s="20"/>
      <c r="AN47" s="20"/>
    </row>
  </sheetData>
  <autoFilter ref="AI1:AI69"/>
  <mergeCells count="251">
    <mergeCell ref="A3:A5"/>
    <mergeCell ref="B3:B5"/>
    <mergeCell ref="C3:C5"/>
    <mergeCell ref="D3:E5"/>
    <mergeCell ref="V3:V5"/>
    <mergeCell ref="W3:W5"/>
    <mergeCell ref="X3:X5"/>
    <mergeCell ref="A1:A2"/>
    <mergeCell ref="B1:D2"/>
    <mergeCell ref="E1:U2"/>
    <mergeCell ref="V1:V2"/>
    <mergeCell ref="W1:X1"/>
    <mergeCell ref="Y3:Z5"/>
    <mergeCell ref="AA3:AD3"/>
    <mergeCell ref="AE3:AE5"/>
    <mergeCell ref="AF3:AF5"/>
    <mergeCell ref="AG3:AG5"/>
    <mergeCell ref="AD4:AD5"/>
    <mergeCell ref="AB1:AF2"/>
    <mergeCell ref="W2:X2"/>
    <mergeCell ref="AA1:AA2"/>
    <mergeCell ref="A8:A9"/>
    <mergeCell ref="B8:B9"/>
    <mergeCell ref="D8:E9"/>
    <mergeCell ref="V8:V9"/>
    <mergeCell ref="W8:W9"/>
    <mergeCell ref="A6:A7"/>
    <mergeCell ref="B6:B7"/>
    <mergeCell ref="D6:E7"/>
    <mergeCell ref="V6:V7"/>
    <mergeCell ref="W6:W7"/>
    <mergeCell ref="X8:X9"/>
    <mergeCell ref="Z8:Z9"/>
    <mergeCell ref="AD8:AD9"/>
    <mergeCell ref="AE8:AE9"/>
    <mergeCell ref="AF8:AF9"/>
    <mergeCell ref="AG8:AG9"/>
    <mergeCell ref="Z6:Z7"/>
    <mergeCell ref="AD6:AD7"/>
    <mergeCell ref="AE6:AE7"/>
    <mergeCell ref="AF6:AF7"/>
    <mergeCell ref="AG6:AG7"/>
    <mergeCell ref="X6:X7"/>
    <mergeCell ref="A12:A13"/>
    <mergeCell ref="B12:B13"/>
    <mergeCell ref="D12:E13"/>
    <mergeCell ref="V12:V13"/>
    <mergeCell ref="W12:W13"/>
    <mergeCell ref="A10:A11"/>
    <mergeCell ref="B10:B11"/>
    <mergeCell ref="D10:E11"/>
    <mergeCell ref="V10:V11"/>
    <mergeCell ref="W10:W11"/>
    <mergeCell ref="X12:X13"/>
    <mergeCell ref="Z12:Z13"/>
    <mergeCell ref="AD12:AD13"/>
    <mergeCell ref="AE12:AE13"/>
    <mergeCell ref="AF12:AF13"/>
    <mergeCell ref="AG12:AG13"/>
    <mergeCell ref="Z10:Z11"/>
    <mergeCell ref="AD10:AD11"/>
    <mergeCell ref="AE10:AE11"/>
    <mergeCell ref="AF10:AF11"/>
    <mergeCell ref="AG10:AG11"/>
    <mergeCell ref="X10:X11"/>
    <mergeCell ref="A16:A17"/>
    <mergeCell ref="B16:B17"/>
    <mergeCell ref="D16:E17"/>
    <mergeCell ref="V16:V17"/>
    <mergeCell ref="W16:W17"/>
    <mergeCell ref="A14:A15"/>
    <mergeCell ref="B14:B15"/>
    <mergeCell ref="D14:E15"/>
    <mergeCell ref="V14:V15"/>
    <mergeCell ref="W14:W15"/>
    <mergeCell ref="X16:X17"/>
    <mergeCell ref="Z16:Z17"/>
    <mergeCell ref="AD16:AD17"/>
    <mergeCell ref="AE16:AE17"/>
    <mergeCell ref="AF16:AF17"/>
    <mergeCell ref="AG16:AG17"/>
    <mergeCell ref="Z14:Z15"/>
    <mergeCell ref="AD14:AD15"/>
    <mergeCell ref="AE14:AE15"/>
    <mergeCell ref="AF14:AF15"/>
    <mergeCell ref="AG14:AG15"/>
    <mergeCell ref="X14:X15"/>
    <mergeCell ref="A20:A21"/>
    <mergeCell ref="B20:B21"/>
    <mergeCell ref="D20:E21"/>
    <mergeCell ref="V20:V21"/>
    <mergeCell ref="W20:W21"/>
    <mergeCell ref="A18:A19"/>
    <mergeCell ref="B18:B19"/>
    <mergeCell ref="D18:E19"/>
    <mergeCell ref="V18:V19"/>
    <mergeCell ref="W18:W19"/>
    <mergeCell ref="X20:X21"/>
    <mergeCell ref="Z20:Z21"/>
    <mergeCell ref="AD20:AD21"/>
    <mergeCell ref="AE20:AE21"/>
    <mergeCell ref="AF20:AF21"/>
    <mergeCell ref="AG20:AG21"/>
    <mergeCell ref="Z18:Z19"/>
    <mergeCell ref="AD18:AD19"/>
    <mergeCell ref="AE18:AE19"/>
    <mergeCell ref="AF18:AF19"/>
    <mergeCell ref="AG18:AG19"/>
    <mergeCell ref="X18:X19"/>
    <mergeCell ref="A24:A25"/>
    <mergeCell ref="B24:B25"/>
    <mergeCell ref="D24:E25"/>
    <mergeCell ref="V24:V25"/>
    <mergeCell ref="W24:W25"/>
    <mergeCell ref="A22:A23"/>
    <mergeCell ref="B22:B23"/>
    <mergeCell ref="D22:E23"/>
    <mergeCell ref="V22:V23"/>
    <mergeCell ref="W22:W23"/>
    <mergeCell ref="X24:X25"/>
    <mergeCell ref="Z24:Z25"/>
    <mergeCell ref="AD24:AD25"/>
    <mergeCell ref="AE24:AE25"/>
    <mergeCell ref="AF24:AF25"/>
    <mergeCell ref="AG24:AG25"/>
    <mergeCell ref="Z22:Z23"/>
    <mergeCell ref="AD22:AD23"/>
    <mergeCell ref="AE22:AE23"/>
    <mergeCell ref="AF22:AF23"/>
    <mergeCell ref="AG22:AG23"/>
    <mergeCell ref="X22:X23"/>
    <mergeCell ref="A28:A29"/>
    <mergeCell ref="B28:B29"/>
    <mergeCell ref="D28:E29"/>
    <mergeCell ref="V28:V29"/>
    <mergeCell ref="W28:W29"/>
    <mergeCell ref="A26:A27"/>
    <mergeCell ref="B26:B27"/>
    <mergeCell ref="D26:E27"/>
    <mergeCell ref="V26:V27"/>
    <mergeCell ref="W26:W27"/>
    <mergeCell ref="X28:X29"/>
    <mergeCell ref="Z28:Z29"/>
    <mergeCell ref="AD28:AD29"/>
    <mergeCell ref="AE28:AE29"/>
    <mergeCell ref="AF28:AF29"/>
    <mergeCell ref="AG28:AG29"/>
    <mergeCell ref="Z26:Z27"/>
    <mergeCell ref="AD26:AD27"/>
    <mergeCell ref="AE26:AE27"/>
    <mergeCell ref="AF26:AF27"/>
    <mergeCell ref="AG26:AG27"/>
    <mergeCell ref="X26:X27"/>
    <mergeCell ref="A32:A33"/>
    <mergeCell ref="B32:B33"/>
    <mergeCell ref="D32:E33"/>
    <mergeCell ref="V32:V33"/>
    <mergeCell ref="W32:W33"/>
    <mergeCell ref="A30:A31"/>
    <mergeCell ref="B30:B31"/>
    <mergeCell ref="D30:E31"/>
    <mergeCell ref="V30:V31"/>
    <mergeCell ref="W30:W31"/>
    <mergeCell ref="X32:X33"/>
    <mergeCell ref="Z32:Z33"/>
    <mergeCell ref="AD32:AD33"/>
    <mergeCell ref="AE32:AE33"/>
    <mergeCell ref="AF32:AF33"/>
    <mergeCell ref="AG32:AG33"/>
    <mergeCell ref="Z30:Z31"/>
    <mergeCell ref="AD30:AD31"/>
    <mergeCell ref="AE30:AE31"/>
    <mergeCell ref="AF30:AF31"/>
    <mergeCell ref="AG30:AG31"/>
    <mergeCell ref="X30:X31"/>
    <mergeCell ref="A36:A37"/>
    <mergeCell ref="B36:B37"/>
    <mergeCell ref="D36:E37"/>
    <mergeCell ref="V36:V37"/>
    <mergeCell ref="W36:W37"/>
    <mergeCell ref="A34:A35"/>
    <mergeCell ref="B34:B35"/>
    <mergeCell ref="D34:E35"/>
    <mergeCell ref="V34:V35"/>
    <mergeCell ref="W34:W35"/>
    <mergeCell ref="X36:X37"/>
    <mergeCell ref="Z36:Z37"/>
    <mergeCell ref="AD36:AD37"/>
    <mergeCell ref="AE36:AE37"/>
    <mergeCell ref="AF36:AF37"/>
    <mergeCell ref="AG36:AG37"/>
    <mergeCell ref="Z34:Z35"/>
    <mergeCell ref="AD34:AD35"/>
    <mergeCell ref="AE34:AE35"/>
    <mergeCell ref="AF34:AF35"/>
    <mergeCell ref="AG34:AG35"/>
    <mergeCell ref="X34:X35"/>
    <mergeCell ref="A40:A41"/>
    <mergeCell ref="B40:B41"/>
    <mergeCell ref="D40:E41"/>
    <mergeCell ref="V40:V41"/>
    <mergeCell ref="W40:W41"/>
    <mergeCell ref="A38:A39"/>
    <mergeCell ref="B38:B39"/>
    <mergeCell ref="D38:E39"/>
    <mergeCell ref="V38:V39"/>
    <mergeCell ref="W38:W39"/>
    <mergeCell ref="X40:X41"/>
    <mergeCell ref="Z40:Z41"/>
    <mergeCell ref="AD40:AD41"/>
    <mergeCell ref="AE40:AE41"/>
    <mergeCell ref="AF40:AF41"/>
    <mergeCell ref="AG40:AG41"/>
    <mergeCell ref="Z38:Z39"/>
    <mergeCell ref="AD38:AD39"/>
    <mergeCell ref="AE38:AE39"/>
    <mergeCell ref="AF38:AF39"/>
    <mergeCell ref="AG38:AG39"/>
    <mergeCell ref="X38:X39"/>
    <mergeCell ref="A44:A45"/>
    <mergeCell ref="B44:B45"/>
    <mergeCell ref="D44:E45"/>
    <mergeCell ref="V44:V45"/>
    <mergeCell ref="W44:W45"/>
    <mergeCell ref="A42:A43"/>
    <mergeCell ref="B42:B43"/>
    <mergeCell ref="D42:E43"/>
    <mergeCell ref="V42:V43"/>
    <mergeCell ref="W42:W43"/>
    <mergeCell ref="X44:X45"/>
    <mergeCell ref="Z44:Z45"/>
    <mergeCell ref="AD44:AD45"/>
    <mergeCell ref="AE44:AE45"/>
    <mergeCell ref="AF44:AF45"/>
    <mergeCell ref="AG44:AG45"/>
    <mergeCell ref="Z42:Z43"/>
    <mergeCell ref="AD42:AD43"/>
    <mergeCell ref="AE42:AE43"/>
    <mergeCell ref="AF42:AF43"/>
    <mergeCell ref="AG42:AG43"/>
    <mergeCell ref="X42:X43"/>
    <mergeCell ref="AE46:AE47"/>
    <mergeCell ref="AF46:AF47"/>
    <mergeCell ref="AG46:AG47"/>
    <mergeCell ref="AH46:AH47"/>
    <mergeCell ref="A46:E47"/>
    <mergeCell ref="F46:U47"/>
    <mergeCell ref="V46:V47"/>
    <mergeCell ref="W46:W47"/>
    <mergeCell ref="X46:X47"/>
    <mergeCell ref="AD46:AD47"/>
  </mergeCells>
  <phoneticPr fontId="4" type="noConversion"/>
  <printOptions horizontalCentered="1"/>
  <pageMargins left="0.39370078740157483" right="0.39370078740157483" top="0.78740157480314965" bottom="0.78740157480314965" header="0" footer="0"/>
  <pageSetup paperSize="9" scale="75" orientation="landscape" r:id="rId1"/>
  <rowBreaks count="1" manualBreakCount="1">
    <brk id="5" max="31"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A203"/>
  <sheetViews>
    <sheetView showGridLines="0" topLeftCell="A2" zoomScale="55" zoomScaleNormal="55" workbookViewId="0">
      <selection activeCell="AC140" sqref="AC140"/>
    </sheetView>
  </sheetViews>
  <sheetFormatPr defaultColWidth="9" defaultRowHeight="30.95" customHeight="1" outlineLevelCol="1" x14ac:dyDescent="0.3"/>
  <cols>
    <col min="1" max="1" width="2.625" style="41" customWidth="1"/>
    <col min="2" max="2" width="11.125" style="41" customWidth="1"/>
    <col min="3" max="4" width="8.625" style="41" customWidth="1"/>
    <col min="5" max="5" width="11.125" style="41" customWidth="1"/>
    <col min="6" max="7" width="8.625" style="41" customWidth="1"/>
    <col min="8" max="9" width="2.625" style="41" customWidth="1"/>
    <col min="10" max="13" width="11.125" style="41" customWidth="1"/>
    <col min="14" max="15" width="6.125" style="41" customWidth="1"/>
    <col min="16" max="16" width="2.625" style="41" customWidth="1"/>
    <col min="17" max="17" width="0" style="41" hidden="1" customWidth="1" outlineLevel="1"/>
    <col min="18" max="19" width="0" style="42" hidden="1" customWidth="1" outlineLevel="1"/>
    <col min="20" max="20" width="9" style="42" collapsed="1"/>
    <col min="21" max="26" width="0" style="41" hidden="1" customWidth="1" outlineLevel="1"/>
    <col min="27" max="27" width="15.625" style="41" customWidth="1" collapsed="1"/>
    <col min="28" max="16384" width="9" style="41"/>
  </cols>
  <sheetData>
    <row r="1" spans="1:27" s="26" customFormat="1" ht="30.95" customHeight="1" x14ac:dyDescent="0.3">
      <c r="B1" s="109" t="s">
        <v>29</v>
      </c>
      <c r="C1" s="110"/>
      <c r="D1" s="110"/>
      <c r="E1" s="110"/>
      <c r="F1" s="110"/>
      <c r="G1" s="110"/>
      <c r="H1" s="110"/>
      <c r="I1" s="110"/>
      <c r="J1" s="110"/>
      <c r="K1" s="110"/>
      <c r="L1" s="110"/>
      <c r="M1" s="110"/>
      <c r="N1" s="110"/>
      <c r="O1" s="110"/>
      <c r="R1" s="29"/>
      <c r="S1" s="29"/>
      <c r="T1" s="29">
        <v>1</v>
      </c>
      <c r="V1" s="30"/>
      <c r="W1" s="30"/>
      <c r="X1" s="30"/>
    </row>
    <row r="2" spans="1:27" s="26" customFormat="1" ht="30.95" customHeight="1" x14ac:dyDescent="0.3">
      <c r="B2" s="27"/>
      <c r="C2" s="28"/>
      <c r="D2" s="28"/>
      <c r="E2" s="28"/>
      <c r="F2" s="28"/>
      <c r="G2" s="28"/>
      <c r="H2" s="28"/>
      <c r="I2" s="28"/>
      <c r="J2" s="28"/>
      <c r="K2" s="28"/>
      <c r="L2" s="28"/>
      <c r="M2" s="28"/>
      <c r="N2" s="28"/>
      <c r="O2" s="28"/>
      <c r="R2" s="29"/>
      <c r="S2" s="29"/>
      <c r="T2" s="29">
        <v>1</v>
      </c>
      <c r="V2" s="31" t="s">
        <v>30</v>
      </c>
      <c r="W2" s="31" t="s">
        <v>31</v>
      </c>
      <c r="X2" s="31" t="s">
        <v>24</v>
      </c>
      <c r="Y2" s="31" t="s">
        <v>32</v>
      </c>
      <c r="Z2" s="31" t="s">
        <v>26</v>
      </c>
    </row>
    <row r="3" spans="1:27" s="26" customFormat="1" ht="30.95" customHeight="1" x14ac:dyDescent="0.3">
      <c r="B3" s="32" t="s">
        <v>47</v>
      </c>
      <c r="C3" s="33"/>
      <c r="D3" s="33"/>
      <c r="E3" s="33"/>
      <c r="F3" s="33"/>
      <c r="G3" s="33"/>
      <c r="H3" s="33"/>
      <c r="I3" s="33"/>
      <c r="J3" s="33"/>
      <c r="K3" s="33"/>
      <c r="L3" s="33"/>
      <c r="M3" s="33"/>
      <c r="N3" s="33"/>
      <c r="O3" s="34" t="s">
        <v>46</v>
      </c>
      <c r="P3" s="35"/>
      <c r="R3" s="29"/>
      <c r="S3" s="29"/>
      <c r="T3" s="29">
        <v>1</v>
      </c>
      <c r="V3" s="31" t="s">
        <v>33</v>
      </c>
      <c r="W3" s="31" t="s">
        <v>34</v>
      </c>
      <c r="X3" s="31" t="s">
        <v>35</v>
      </c>
      <c r="Y3" s="31" t="s">
        <v>36</v>
      </c>
      <c r="Z3" s="31" t="s">
        <v>37</v>
      </c>
    </row>
    <row r="4" spans="1:27" s="26" customFormat="1" ht="30.95" customHeight="1" x14ac:dyDescent="0.3">
      <c r="A4" s="92" t="s">
        <v>38</v>
      </c>
      <c r="B4" s="93"/>
      <c r="C4" s="93"/>
      <c r="D4" s="93"/>
      <c r="E4" s="93"/>
      <c r="F4" s="93"/>
      <c r="G4" s="93"/>
      <c r="H4" s="94"/>
      <c r="I4" s="92" t="s">
        <v>39</v>
      </c>
      <c r="J4" s="93"/>
      <c r="K4" s="93"/>
      <c r="L4" s="93"/>
      <c r="M4" s="93"/>
      <c r="N4" s="93"/>
      <c r="O4" s="93"/>
      <c r="P4" s="94"/>
      <c r="R4" s="36">
        <v>1</v>
      </c>
      <c r="S4" s="29">
        <v>1</v>
      </c>
      <c r="T4" s="37">
        <f>IF(명세서_철거!$AE$6=0,0,1)</f>
        <v>1</v>
      </c>
      <c r="U4" s="31">
        <f>U13</f>
        <v>6</v>
      </c>
      <c r="W4" s="31" t="str">
        <f>W$3&amp;$U4</f>
        <v>AE6</v>
      </c>
    </row>
    <row r="5" spans="1:27" s="26" customFormat="1" ht="30.95" customHeight="1" x14ac:dyDescent="0.3">
      <c r="A5" s="95"/>
      <c r="B5" s="96"/>
      <c r="C5" s="96"/>
      <c r="D5" s="96"/>
      <c r="E5" s="96"/>
      <c r="F5" s="96"/>
      <c r="G5" s="96"/>
      <c r="H5" s="97"/>
      <c r="I5" s="95"/>
      <c r="J5" s="96"/>
      <c r="K5" s="96"/>
      <c r="L5" s="96"/>
      <c r="M5" s="96"/>
      <c r="N5" s="96"/>
      <c r="O5" s="96"/>
      <c r="P5" s="97"/>
      <c r="R5" s="36">
        <v>2</v>
      </c>
      <c r="S5" s="29"/>
      <c r="T5" s="29">
        <f>T4</f>
        <v>1</v>
      </c>
    </row>
    <row r="6" spans="1:27" s="26" customFormat="1" ht="30.95" customHeight="1" x14ac:dyDescent="0.3">
      <c r="A6" s="95"/>
      <c r="B6" s="96"/>
      <c r="C6" s="96"/>
      <c r="D6" s="96"/>
      <c r="E6" s="96"/>
      <c r="F6" s="96"/>
      <c r="G6" s="96"/>
      <c r="H6" s="97"/>
      <c r="I6" s="95"/>
      <c r="J6" s="96"/>
      <c r="K6" s="96"/>
      <c r="L6" s="96"/>
      <c r="M6" s="96"/>
      <c r="N6" s="96"/>
      <c r="O6" s="96"/>
      <c r="P6" s="97"/>
      <c r="R6" s="36">
        <v>3</v>
      </c>
      <c r="S6" s="29"/>
      <c r="T6" s="29">
        <f t="shared" ref="T6:T12" si="0">T5</f>
        <v>1</v>
      </c>
    </row>
    <row r="7" spans="1:27" s="26" customFormat="1" ht="30.95" customHeight="1" x14ac:dyDescent="0.3">
      <c r="A7" s="95"/>
      <c r="B7" s="96"/>
      <c r="C7" s="96"/>
      <c r="D7" s="96"/>
      <c r="E7" s="96"/>
      <c r="F7" s="96"/>
      <c r="G7" s="96"/>
      <c r="H7" s="97"/>
      <c r="I7" s="95"/>
      <c r="J7" s="96"/>
      <c r="K7" s="96"/>
      <c r="L7" s="96"/>
      <c r="M7" s="96"/>
      <c r="N7" s="96"/>
      <c r="O7" s="96"/>
      <c r="P7" s="97"/>
      <c r="R7" s="36">
        <v>4</v>
      </c>
      <c r="S7" s="29"/>
      <c r="T7" s="29">
        <f t="shared" si="0"/>
        <v>1</v>
      </c>
    </row>
    <row r="8" spans="1:27" s="26" customFormat="1" ht="30.95" customHeight="1" x14ac:dyDescent="0.3">
      <c r="A8" s="95"/>
      <c r="B8" s="96"/>
      <c r="C8" s="96"/>
      <c r="D8" s="96"/>
      <c r="E8" s="96"/>
      <c r="F8" s="96"/>
      <c r="G8" s="96"/>
      <c r="H8" s="97"/>
      <c r="I8" s="95"/>
      <c r="J8" s="96"/>
      <c r="K8" s="96"/>
      <c r="L8" s="96"/>
      <c r="M8" s="96"/>
      <c r="N8" s="96"/>
      <c r="O8" s="96"/>
      <c r="P8" s="97"/>
      <c r="R8" s="36">
        <v>5</v>
      </c>
      <c r="S8" s="29"/>
      <c r="T8" s="29">
        <f t="shared" si="0"/>
        <v>1</v>
      </c>
      <c r="AA8" s="43" t="s">
        <v>44</v>
      </c>
    </row>
    <row r="9" spans="1:27" s="26" customFormat="1" ht="30.95" customHeight="1" x14ac:dyDescent="0.3">
      <c r="A9" s="95"/>
      <c r="B9" s="96"/>
      <c r="C9" s="96"/>
      <c r="D9" s="96"/>
      <c r="E9" s="96"/>
      <c r="F9" s="96"/>
      <c r="G9" s="96"/>
      <c r="H9" s="97"/>
      <c r="I9" s="95"/>
      <c r="J9" s="96"/>
      <c r="K9" s="96"/>
      <c r="L9" s="96"/>
      <c r="M9" s="96"/>
      <c r="N9" s="96"/>
      <c r="O9" s="96"/>
      <c r="P9" s="97"/>
      <c r="R9" s="36">
        <v>6</v>
      </c>
      <c r="S9" s="29"/>
      <c r="T9" s="29">
        <f t="shared" si="0"/>
        <v>1</v>
      </c>
    </row>
    <row r="10" spans="1:27" s="26" customFormat="1" ht="30.95" customHeight="1" x14ac:dyDescent="0.3">
      <c r="A10" s="95"/>
      <c r="B10" s="96"/>
      <c r="C10" s="96"/>
      <c r="D10" s="96"/>
      <c r="E10" s="96"/>
      <c r="F10" s="96"/>
      <c r="G10" s="96"/>
      <c r="H10" s="97"/>
      <c r="I10" s="95"/>
      <c r="J10" s="96"/>
      <c r="K10" s="96"/>
      <c r="L10" s="96"/>
      <c r="M10" s="96"/>
      <c r="N10" s="96"/>
      <c r="O10" s="96"/>
      <c r="P10" s="97"/>
      <c r="R10" s="36">
        <v>7</v>
      </c>
      <c r="S10" s="29"/>
      <c r="T10" s="29">
        <f t="shared" si="0"/>
        <v>1</v>
      </c>
    </row>
    <row r="11" spans="1:27" s="26" customFormat="1" ht="30.95" customHeight="1" x14ac:dyDescent="0.3">
      <c r="A11" s="95"/>
      <c r="B11" s="96"/>
      <c r="C11" s="96"/>
      <c r="D11" s="96"/>
      <c r="E11" s="96"/>
      <c r="F11" s="96"/>
      <c r="G11" s="96"/>
      <c r="H11" s="97"/>
      <c r="I11" s="95"/>
      <c r="J11" s="96"/>
      <c r="K11" s="96"/>
      <c r="L11" s="96"/>
      <c r="M11" s="96"/>
      <c r="N11" s="96"/>
      <c r="O11" s="96"/>
      <c r="P11" s="97"/>
      <c r="R11" s="36">
        <v>8</v>
      </c>
      <c r="S11" s="29"/>
      <c r="T11" s="29">
        <f t="shared" si="0"/>
        <v>1</v>
      </c>
    </row>
    <row r="12" spans="1:27" s="26" customFormat="1" ht="30.95" customHeight="1" x14ac:dyDescent="0.3">
      <c r="A12" s="98"/>
      <c r="B12" s="99"/>
      <c r="C12" s="99"/>
      <c r="D12" s="99"/>
      <c r="E12" s="99"/>
      <c r="F12" s="99"/>
      <c r="G12" s="99"/>
      <c r="H12" s="100"/>
      <c r="I12" s="98"/>
      <c r="J12" s="99"/>
      <c r="K12" s="99"/>
      <c r="L12" s="99"/>
      <c r="M12" s="99"/>
      <c r="N12" s="99"/>
      <c r="O12" s="99"/>
      <c r="P12" s="100"/>
      <c r="R12" s="36">
        <v>9</v>
      </c>
      <c r="S12" s="29"/>
      <c r="T12" s="29">
        <f t="shared" si="0"/>
        <v>1</v>
      </c>
    </row>
    <row r="13" spans="1:27" s="31" customFormat="1" ht="30.95" customHeight="1" x14ac:dyDescent="0.3">
      <c r="A13" s="101" t="s">
        <v>40</v>
      </c>
      <c r="B13" s="102"/>
      <c r="C13" s="103" t="str">
        <f>명세서_철거!$B$6</f>
        <v>김경숙</v>
      </c>
      <c r="D13" s="104"/>
      <c r="E13" s="38" t="s">
        <v>41</v>
      </c>
      <c r="F13" s="105" t="str">
        <f>명세서_철거!$AJ$6</f>
        <v>010-2040-6604</v>
      </c>
      <c r="G13" s="105"/>
      <c r="H13" s="105"/>
      <c r="I13" s="106" t="s">
        <v>42</v>
      </c>
      <c r="J13" s="107"/>
      <c r="K13" s="39" t="str">
        <f>명세서_철거!$AK$6</f>
        <v>새마을금고</v>
      </c>
      <c r="L13" s="40" t="s">
        <v>43</v>
      </c>
      <c r="M13" s="106" t="str">
        <f>명세서_철거!$AL$6</f>
        <v>9002-1703-0114-6</v>
      </c>
      <c r="N13" s="108"/>
      <c r="O13" s="108"/>
      <c r="P13" s="107"/>
      <c r="R13" s="36">
        <v>10</v>
      </c>
      <c r="S13" s="36"/>
      <c r="T13" s="29">
        <f>T4</f>
        <v>1</v>
      </c>
      <c r="U13" s="31">
        <v>6</v>
      </c>
      <c r="V13" s="31" t="str">
        <f>V$3&amp;$U13</f>
        <v>B6</v>
      </c>
      <c r="X13" s="31" t="str">
        <f>X$3&amp;$U13</f>
        <v>AJ6</v>
      </c>
      <c r="Y13" s="31" t="str">
        <f>Y$3&amp;$U13</f>
        <v>AK6</v>
      </c>
      <c r="Z13" s="31" t="str">
        <f>Z$3&amp;$U13</f>
        <v>AL6</v>
      </c>
      <c r="AA13" s="43" t="s">
        <v>45</v>
      </c>
    </row>
    <row r="14" spans="1:27" s="26" customFormat="1" ht="30.95" customHeight="1" x14ac:dyDescent="0.3">
      <c r="A14" s="92" t="s">
        <v>38</v>
      </c>
      <c r="B14" s="93"/>
      <c r="C14" s="93"/>
      <c r="D14" s="93"/>
      <c r="E14" s="93"/>
      <c r="F14" s="93"/>
      <c r="G14" s="93"/>
      <c r="H14" s="94"/>
      <c r="I14" s="92" t="s">
        <v>39</v>
      </c>
      <c r="J14" s="93"/>
      <c r="K14" s="93"/>
      <c r="L14" s="93"/>
      <c r="M14" s="93"/>
      <c r="N14" s="93"/>
      <c r="O14" s="93"/>
      <c r="P14" s="94"/>
      <c r="R14" s="36">
        <v>1</v>
      </c>
      <c r="S14" s="29"/>
      <c r="T14" s="29">
        <f>T4</f>
        <v>1</v>
      </c>
      <c r="U14" s="31"/>
      <c r="W14" s="31"/>
    </row>
    <row r="15" spans="1:27" s="26" customFormat="1" ht="30.95" customHeight="1" x14ac:dyDescent="0.3">
      <c r="A15" s="95"/>
      <c r="B15" s="96"/>
      <c r="C15" s="96"/>
      <c r="D15" s="96"/>
      <c r="E15" s="96"/>
      <c r="F15" s="96"/>
      <c r="G15" s="96"/>
      <c r="H15" s="97"/>
      <c r="I15" s="95"/>
      <c r="J15" s="96"/>
      <c r="K15" s="96"/>
      <c r="L15" s="96"/>
      <c r="M15" s="96"/>
      <c r="N15" s="96"/>
      <c r="O15" s="96"/>
      <c r="P15" s="97"/>
      <c r="R15" s="36">
        <v>2</v>
      </c>
      <c r="S15" s="29"/>
      <c r="T15" s="29">
        <f>T14</f>
        <v>1</v>
      </c>
    </row>
    <row r="16" spans="1:27" s="26" customFormat="1" ht="30.95" customHeight="1" x14ac:dyDescent="0.3">
      <c r="A16" s="95"/>
      <c r="B16" s="96"/>
      <c r="C16" s="96"/>
      <c r="D16" s="96"/>
      <c r="E16" s="96"/>
      <c r="F16" s="96"/>
      <c r="G16" s="96"/>
      <c r="H16" s="97"/>
      <c r="I16" s="95"/>
      <c r="J16" s="96"/>
      <c r="K16" s="96"/>
      <c r="L16" s="96"/>
      <c r="M16" s="96"/>
      <c r="N16" s="96"/>
      <c r="O16" s="96"/>
      <c r="P16" s="97"/>
      <c r="R16" s="36">
        <v>3</v>
      </c>
      <c r="S16" s="29"/>
      <c r="T16" s="29">
        <f t="shared" ref="T16:T79" si="1">T15</f>
        <v>1</v>
      </c>
    </row>
    <row r="17" spans="1:26" s="26" customFormat="1" ht="30.95" customHeight="1" x14ac:dyDescent="0.3">
      <c r="A17" s="95"/>
      <c r="B17" s="96"/>
      <c r="C17" s="96"/>
      <c r="D17" s="96"/>
      <c r="E17" s="96"/>
      <c r="F17" s="96"/>
      <c r="G17" s="96"/>
      <c r="H17" s="97"/>
      <c r="I17" s="95"/>
      <c r="J17" s="96"/>
      <c r="K17" s="96"/>
      <c r="L17" s="96"/>
      <c r="M17" s="96"/>
      <c r="N17" s="96"/>
      <c r="O17" s="96"/>
      <c r="P17" s="97"/>
      <c r="R17" s="36">
        <v>4</v>
      </c>
      <c r="S17" s="29"/>
      <c r="T17" s="29">
        <f t="shared" si="1"/>
        <v>1</v>
      </c>
    </row>
    <row r="18" spans="1:26" s="26" customFormat="1" ht="30.95" customHeight="1" x14ac:dyDescent="0.3">
      <c r="A18" s="95"/>
      <c r="B18" s="96"/>
      <c r="C18" s="96"/>
      <c r="D18" s="96"/>
      <c r="E18" s="96"/>
      <c r="F18" s="96"/>
      <c r="G18" s="96"/>
      <c r="H18" s="97"/>
      <c r="I18" s="95"/>
      <c r="J18" s="96"/>
      <c r="K18" s="96"/>
      <c r="L18" s="96"/>
      <c r="M18" s="96"/>
      <c r="N18" s="96"/>
      <c r="O18" s="96"/>
      <c r="P18" s="97"/>
      <c r="R18" s="36">
        <v>5</v>
      </c>
      <c r="S18" s="29"/>
      <c r="T18" s="29">
        <f t="shared" si="1"/>
        <v>1</v>
      </c>
    </row>
    <row r="19" spans="1:26" s="26" customFormat="1" ht="30.95" customHeight="1" x14ac:dyDescent="0.3">
      <c r="A19" s="95"/>
      <c r="B19" s="96"/>
      <c r="C19" s="96"/>
      <c r="D19" s="96"/>
      <c r="E19" s="96"/>
      <c r="F19" s="96"/>
      <c r="G19" s="96"/>
      <c r="H19" s="97"/>
      <c r="I19" s="95"/>
      <c r="J19" s="96"/>
      <c r="K19" s="96"/>
      <c r="L19" s="96"/>
      <c r="M19" s="96"/>
      <c r="N19" s="96"/>
      <c r="O19" s="96"/>
      <c r="P19" s="97"/>
      <c r="R19" s="36">
        <v>6</v>
      </c>
      <c r="S19" s="29"/>
      <c r="T19" s="29">
        <f t="shared" si="1"/>
        <v>1</v>
      </c>
    </row>
    <row r="20" spans="1:26" s="26" customFormat="1" ht="30.95" customHeight="1" x14ac:dyDescent="0.3">
      <c r="A20" s="95"/>
      <c r="B20" s="96"/>
      <c r="C20" s="96"/>
      <c r="D20" s="96"/>
      <c r="E20" s="96"/>
      <c r="F20" s="96"/>
      <c r="G20" s="96"/>
      <c r="H20" s="97"/>
      <c r="I20" s="95"/>
      <c r="J20" s="96"/>
      <c r="K20" s="96"/>
      <c r="L20" s="96"/>
      <c r="M20" s="96"/>
      <c r="N20" s="96"/>
      <c r="O20" s="96"/>
      <c r="P20" s="97"/>
      <c r="R20" s="36">
        <v>7</v>
      </c>
      <c r="S20" s="29"/>
      <c r="T20" s="29">
        <f t="shared" si="1"/>
        <v>1</v>
      </c>
    </row>
    <row r="21" spans="1:26" s="26" customFormat="1" ht="30.95" customHeight="1" x14ac:dyDescent="0.3">
      <c r="A21" s="95"/>
      <c r="B21" s="96"/>
      <c r="C21" s="96"/>
      <c r="D21" s="96"/>
      <c r="E21" s="96"/>
      <c r="F21" s="96"/>
      <c r="G21" s="96"/>
      <c r="H21" s="97"/>
      <c r="I21" s="95"/>
      <c r="J21" s="96"/>
      <c r="K21" s="96"/>
      <c r="L21" s="96"/>
      <c r="M21" s="96"/>
      <c r="N21" s="96"/>
      <c r="O21" s="96"/>
      <c r="P21" s="97"/>
      <c r="R21" s="36">
        <v>8</v>
      </c>
      <c r="S21" s="29"/>
      <c r="T21" s="29">
        <f t="shared" si="1"/>
        <v>1</v>
      </c>
    </row>
    <row r="22" spans="1:26" s="26" customFormat="1" ht="30.95" customHeight="1" x14ac:dyDescent="0.3">
      <c r="A22" s="98"/>
      <c r="B22" s="99"/>
      <c r="C22" s="99"/>
      <c r="D22" s="99"/>
      <c r="E22" s="99"/>
      <c r="F22" s="99"/>
      <c r="G22" s="99"/>
      <c r="H22" s="100"/>
      <c r="I22" s="98"/>
      <c r="J22" s="99"/>
      <c r="K22" s="99"/>
      <c r="L22" s="99"/>
      <c r="M22" s="99"/>
      <c r="N22" s="99"/>
      <c r="O22" s="99"/>
      <c r="P22" s="100"/>
      <c r="R22" s="36">
        <v>9</v>
      </c>
      <c r="S22" s="29"/>
      <c r="T22" s="29">
        <f t="shared" si="1"/>
        <v>1</v>
      </c>
    </row>
    <row r="23" spans="1:26" s="31" customFormat="1" ht="30.95" customHeight="1" x14ac:dyDescent="0.3">
      <c r="A23" s="101" t="str">
        <f>$A$13</f>
        <v>성    명</v>
      </c>
      <c r="B23" s="102"/>
      <c r="C23" s="103" t="str">
        <f>명세서_철거!$B$8</f>
        <v>김숙자</v>
      </c>
      <c r="D23" s="104"/>
      <c r="E23" s="38" t="str">
        <f>$E$13</f>
        <v>연락처</v>
      </c>
      <c r="F23" s="105">
        <f>명세서_철거!$AJ$8</f>
        <v>0</v>
      </c>
      <c r="G23" s="105"/>
      <c r="H23" s="105"/>
      <c r="I23" s="106" t="str">
        <f>$I$13</f>
        <v>은행</v>
      </c>
      <c r="J23" s="107"/>
      <c r="K23" s="39">
        <f>명세서_철거!$AK$8</f>
        <v>0</v>
      </c>
      <c r="L23" s="40" t="str">
        <f>$L$13</f>
        <v>계좌번호</v>
      </c>
      <c r="M23" s="106">
        <f>명세서_철거!$AL$8</f>
        <v>0</v>
      </c>
      <c r="N23" s="108"/>
      <c r="O23" s="108"/>
      <c r="P23" s="107"/>
      <c r="R23" s="36">
        <v>10</v>
      </c>
      <c r="S23" s="36"/>
      <c r="T23" s="29">
        <f>T4</f>
        <v>1</v>
      </c>
      <c r="U23" s="31">
        <f>U13+2</f>
        <v>8</v>
      </c>
      <c r="V23" s="31" t="str">
        <f>V$3&amp;$U23</f>
        <v>B8</v>
      </c>
      <c r="X23" s="31" t="str">
        <f>X$3&amp;$U23</f>
        <v>AJ8</v>
      </c>
      <c r="Y23" s="31" t="str">
        <f>Y$3&amp;$U23</f>
        <v>AK8</v>
      </c>
      <c r="Z23" s="31" t="str">
        <f>Z$3&amp;$U23</f>
        <v>AL8</v>
      </c>
    </row>
    <row r="24" spans="1:26" s="26" customFormat="1" ht="30.95" customHeight="1" x14ac:dyDescent="0.3">
      <c r="A24" s="92" t="s">
        <v>38</v>
      </c>
      <c r="B24" s="93"/>
      <c r="C24" s="93"/>
      <c r="D24" s="93"/>
      <c r="E24" s="93"/>
      <c r="F24" s="93"/>
      <c r="G24" s="93"/>
      <c r="H24" s="94"/>
      <c r="I24" s="92" t="s">
        <v>39</v>
      </c>
      <c r="J24" s="93"/>
      <c r="K24" s="93"/>
      <c r="L24" s="93"/>
      <c r="M24" s="93"/>
      <c r="N24" s="93"/>
      <c r="O24" s="93"/>
      <c r="P24" s="94"/>
      <c r="R24" s="36">
        <v>1</v>
      </c>
      <c r="S24" s="29"/>
      <c r="T24" s="29">
        <f>T4</f>
        <v>1</v>
      </c>
      <c r="U24" s="31"/>
      <c r="W24" s="31"/>
    </row>
    <row r="25" spans="1:26" s="26" customFormat="1" ht="30.95" customHeight="1" x14ac:dyDescent="0.3">
      <c r="A25" s="95"/>
      <c r="B25" s="96"/>
      <c r="C25" s="96"/>
      <c r="D25" s="96"/>
      <c r="E25" s="96"/>
      <c r="F25" s="96"/>
      <c r="G25" s="96"/>
      <c r="H25" s="97"/>
      <c r="I25" s="95"/>
      <c r="J25" s="96"/>
      <c r="K25" s="96"/>
      <c r="L25" s="96"/>
      <c r="M25" s="96"/>
      <c r="N25" s="96"/>
      <c r="O25" s="96"/>
      <c r="P25" s="97"/>
      <c r="R25" s="36">
        <v>2</v>
      </c>
      <c r="S25" s="29"/>
      <c r="T25" s="29">
        <f>T24</f>
        <v>1</v>
      </c>
    </row>
    <row r="26" spans="1:26" s="26" customFormat="1" ht="30.95" customHeight="1" x14ac:dyDescent="0.3">
      <c r="A26" s="95"/>
      <c r="B26" s="96"/>
      <c r="C26" s="96"/>
      <c r="D26" s="96"/>
      <c r="E26" s="96"/>
      <c r="F26" s="96"/>
      <c r="G26" s="96"/>
      <c r="H26" s="97"/>
      <c r="I26" s="95"/>
      <c r="J26" s="96"/>
      <c r="K26" s="96"/>
      <c r="L26" s="96"/>
      <c r="M26" s="96"/>
      <c r="N26" s="96"/>
      <c r="O26" s="96"/>
      <c r="P26" s="97"/>
      <c r="R26" s="36">
        <v>3</v>
      </c>
      <c r="S26" s="29"/>
      <c r="T26" s="29">
        <f t="shared" ref="T26:T33" si="2">T25</f>
        <v>1</v>
      </c>
    </row>
    <row r="27" spans="1:26" s="26" customFormat="1" ht="30.95" customHeight="1" x14ac:dyDescent="0.3">
      <c r="A27" s="95"/>
      <c r="B27" s="96"/>
      <c r="C27" s="96"/>
      <c r="D27" s="96"/>
      <c r="E27" s="96"/>
      <c r="F27" s="96"/>
      <c r="G27" s="96"/>
      <c r="H27" s="97"/>
      <c r="I27" s="95"/>
      <c r="J27" s="96"/>
      <c r="K27" s="96"/>
      <c r="L27" s="96"/>
      <c r="M27" s="96"/>
      <c r="N27" s="96"/>
      <c r="O27" s="96"/>
      <c r="P27" s="97"/>
      <c r="R27" s="36">
        <v>4</v>
      </c>
      <c r="S27" s="29"/>
      <c r="T27" s="29">
        <f t="shared" si="2"/>
        <v>1</v>
      </c>
    </row>
    <row r="28" spans="1:26" s="26" customFormat="1" ht="30.95" customHeight="1" x14ac:dyDescent="0.3">
      <c r="A28" s="95"/>
      <c r="B28" s="96"/>
      <c r="C28" s="96"/>
      <c r="D28" s="96"/>
      <c r="E28" s="96"/>
      <c r="F28" s="96"/>
      <c r="G28" s="96"/>
      <c r="H28" s="97"/>
      <c r="I28" s="95"/>
      <c r="J28" s="96"/>
      <c r="K28" s="96"/>
      <c r="L28" s="96"/>
      <c r="M28" s="96"/>
      <c r="N28" s="96"/>
      <c r="O28" s="96"/>
      <c r="P28" s="97"/>
      <c r="R28" s="36">
        <v>5</v>
      </c>
      <c r="S28" s="29"/>
      <c r="T28" s="29">
        <f t="shared" si="2"/>
        <v>1</v>
      </c>
    </row>
    <row r="29" spans="1:26" s="26" customFormat="1" ht="30.95" customHeight="1" x14ac:dyDescent="0.3">
      <c r="A29" s="95"/>
      <c r="B29" s="96"/>
      <c r="C29" s="96"/>
      <c r="D29" s="96"/>
      <c r="E29" s="96"/>
      <c r="F29" s="96"/>
      <c r="G29" s="96"/>
      <c r="H29" s="97"/>
      <c r="I29" s="95"/>
      <c r="J29" s="96"/>
      <c r="K29" s="96"/>
      <c r="L29" s="96"/>
      <c r="M29" s="96"/>
      <c r="N29" s="96"/>
      <c r="O29" s="96"/>
      <c r="P29" s="97"/>
      <c r="R29" s="36">
        <v>6</v>
      </c>
      <c r="S29" s="29"/>
      <c r="T29" s="29">
        <f t="shared" si="2"/>
        <v>1</v>
      </c>
    </row>
    <row r="30" spans="1:26" s="26" customFormat="1" ht="30.95" customHeight="1" x14ac:dyDescent="0.3">
      <c r="A30" s="95"/>
      <c r="B30" s="96"/>
      <c r="C30" s="96"/>
      <c r="D30" s="96"/>
      <c r="E30" s="96"/>
      <c r="F30" s="96"/>
      <c r="G30" s="96"/>
      <c r="H30" s="97"/>
      <c r="I30" s="95"/>
      <c r="J30" s="96"/>
      <c r="K30" s="96"/>
      <c r="L30" s="96"/>
      <c r="M30" s="96"/>
      <c r="N30" s="96"/>
      <c r="O30" s="96"/>
      <c r="P30" s="97"/>
      <c r="R30" s="36">
        <v>7</v>
      </c>
      <c r="S30" s="29"/>
      <c r="T30" s="29">
        <f t="shared" si="2"/>
        <v>1</v>
      </c>
    </row>
    <row r="31" spans="1:26" s="26" customFormat="1" ht="30.95" customHeight="1" x14ac:dyDescent="0.3">
      <c r="A31" s="95"/>
      <c r="B31" s="96"/>
      <c r="C31" s="96"/>
      <c r="D31" s="96"/>
      <c r="E31" s="96"/>
      <c r="F31" s="96"/>
      <c r="G31" s="96"/>
      <c r="H31" s="97"/>
      <c r="I31" s="95"/>
      <c r="J31" s="96"/>
      <c r="K31" s="96"/>
      <c r="L31" s="96"/>
      <c r="M31" s="96"/>
      <c r="N31" s="96"/>
      <c r="O31" s="96"/>
      <c r="P31" s="97"/>
      <c r="R31" s="36">
        <v>8</v>
      </c>
      <c r="S31" s="29"/>
      <c r="T31" s="29">
        <f t="shared" si="2"/>
        <v>1</v>
      </c>
    </row>
    <row r="32" spans="1:26" s="26" customFormat="1" ht="30.95" customHeight="1" x14ac:dyDescent="0.3">
      <c r="A32" s="98"/>
      <c r="B32" s="99"/>
      <c r="C32" s="99"/>
      <c r="D32" s="99"/>
      <c r="E32" s="99"/>
      <c r="F32" s="99"/>
      <c r="G32" s="99"/>
      <c r="H32" s="100"/>
      <c r="I32" s="98"/>
      <c r="J32" s="99"/>
      <c r="K32" s="99"/>
      <c r="L32" s="99"/>
      <c r="M32" s="99"/>
      <c r="N32" s="99"/>
      <c r="O32" s="99"/>
      <c r="P32" s="100"/>
      <c r="R32" s="36">
        <v>9</v>
      </c>
      <c r="S32" s="29"/>
      <c r="T32" s="29">
        <f t="shared" si="2"/>
        <v>1</v>
      </c>
    </row>
    <row r="33" spans="1:26" s="31" customFormat="1" ht="30.95" customHeight="1" x14ac:dyDescent="0.3">
      <c r="A33" s="101" t="str">
        <f>$A$13</f>
        <v>성    명</v>
      </c>
      <c r="B33" s="102"/>
      <c r="C33" s="103" t="str">
        <f>명세서_철거!$B$10</f>
        <v>김진영</v>
      </c>
      <c r="D33" s="104"/>
      <c r="E33" s="38" t="str">
        <f>$E$13</f>
        <v>연락처</v>
      </c>
      <c r="F33" s="105">
        <f>명세서_철거!$AJ$10</f>
        <v>0</v>
      </c>
      <c r="G33" s="105"/>
      <c r="H33" s="105"/>
      <c r="I33" s="106" t="str">
        <f>$I$13</f>
        <v>은행</v>
      </c>
      <c r="J33" s="107"/>
      <c r="K33" s="39">
        <f>명세서_철거!$AK$10</f>
        <v>0</v>
      </c>
      <c r="L33" s="40" t="str">
        <f>$L$13</f>
        <v>계좌번호</v>
      </c>
      <c r="M33" s="106">
        <f>명세서_철거!$AL$10</f>
        <v>0</v>
      </c>
      <c r="N33" s="108"/>
      <c r="O33" s="108"/>
      <c r="P33" s="107"/>
      <c r="R33" s="36">
        <v>10</v>
      </c>
      <c r="S33" s="36"/>
      <c r="T33" s="29">
        <f t="shared" si="2"/>
        <v>1</v>
      </c>
      <c r="U33" s="31">
        <f>U23+2</f>
        <v>10</v>
      </c>
      <c r="V33" s="31" t="str">
        <f>V$3&amp;$U33</f>
        <v>B10</v>
      </c>
      <c r="X33" s="31" t="str">
        <f>X$3&amp;$U33</f>
        <v>AJ10</v>
      </c>
      <c r="Y33" s="31" t="str">
        <f>Y$3&amp;$U33</f>
        <v>AK10</v>
      </c>
      <c r="Z33" s="31" t="str">
        <f>Z$3&amp;$U33</f>
        <v>AL10</v>
      </c>
    </row>
    <row r="34" spans="1:26" s="26" customFormat="1" ht="30.95" customHeight="1" x14ac:dyDescent="0.3">
      <c r="A34" s="92" t="s">
        <v>38</v>
      </c>
      <c r="B34" s="93"/>
      <c r="C34" s="93"/>
      <c r="D34" s="93"/>
      <c r="E34" s="93"/>
      <c r="F34" s="93"/>
      <c r="G34" s="93"/>
      <c r="H34" s="94"/>
      <c r="I34" s="92" t="s">
        <v>39</v>
      </c>
      <c r="J34" s="93"/>
      <c r="K34" s="93"/>
      <c r="L34" s="93"/>
      <c r="M34" s="93"/>
      <c r="N34" s="93"/>
      <c r="O34" s="93"/>
      <c r="P34" s="94"/>
      <c r="R34" s="36">
        <v>1</v>
      </c>
      <c r="S34" s="29">
        <f>S4+1</f>
        <v>2</v>
      </c>
      <c r="T34" s="37">
        <f>IF(명세서_철거!$AE$12=0,0,1)</f>
        <v>1</v>
      </c>
      <c r="U34" s="31">
        <f>U43</f>
        <v>12</v>
      </c>
      <c r="W34" s="31" t="str">
        <f>W$3&amp;$U34</f>
        <v>AE12</v>
      </c>
    </row>
    <row r="35" spans="1:26" s="26" customFormat="1" ht="30.95" customHeight="1" x14ac:dyDescent="0.3">
      <c r="A35" s="95"/>
      <c r="B35" s="96"/>
      <c r="C35" s="96"/>
      <c r="D35" s="96"/>
      <c r="E35" s="96"/>
      <c r="F35" s="96"/>
      <c r="G35" s="96"/>
      <c r="H35" s="97"/>
      <c r="I35" s="95"/>
      <c r="J35" s="96"/>
      <c r="K35" s="96"/>
      <c r="L35" s="96"/>
      <c r="M35" s="96"/>
      <c r="N35" s="96"/>
      <c r="O35" s="96"/>
      <c r="P35" s="97"/>
      <c r="R35" s="36">
        <v>2</v>
      </c>
      <c r="S35" s="29"/>
      <c r="T35" s="29">
        <f>T34</f>
        <v>1</v>
      </c>
    </row>
    <row r="36" spans="1:26" s="26" customFormat="1" ht="30.95" customHeight="1" x14ac:dyDescent="0.3">
      <c r="A36" s="95"/>
      <c r="B36" s="96"/>
      <c r="C36" s="96"/>
      <c r="D36" s="96"/>
      <c r="E36" s="96"/>
      <c r="F36" s="96"/>
      <c r="G36" s="96"/>
      <c r="H36" s="97"/>
      <c r="I36" s="95"/>
      <c r="J36" s="96"/>
      <c r="K36" s="96"/>
      <c r="L36" s="96"/>
      <c r="M36" s="96"/>
      <c r="N36" s="96"/>
      <c r="O36" s="96"/>
      <c r="P36" s="97"/>
      <c r="R36" s="36">
        <v>3</v>
      </c>
      <c r="S36" s="29"/>
      <c r="T36" s="29">
        <f t="shared" ref="T36:T42" si="3">T35</f>
        <v>1</v>
      </c>
    </row>
    <row r="37" spans="1:26" s="26" customFormat="1" ht="30.95" customHeight="1" x14ac:dyDescent="0.3">
      <c r="A37" s="95"/>
      <c r="B37" s="96"/>
      <c r="C37" s="96"/>
      <c r="D37" s="96"/>
      <c r="E37" s="96"/>
      <c r="F37" s="96"/>
      <c r="G37" s="96"/>
      <c r="H37" s="97"/>
      <c r="I37" s="95"/>
      <c r="J37" s="96"/>
      <c r="K37" s="96"/>
      <c r="L37" s="96"/>
      <c r="M37" s="96"/>
      <c r="N37" s="96"/>
      <c r="O37" s="96"/>
      <c r="P37" s="97"/>
      <c r="R37" s="36">
        <v>4</v>
      </c>
      <c r="S37" s="29"/>
      <c r="T37" s="29">
        <f t="shared" si="3"/>
        <v>1</v>
      </c>
    </row>
    <row r="38" spans="1:26" s="26" customFormat="1" ht="30.95" customHeight="1" x14ac:dyDescent="0.3">
      <c r="A38" s="95"/>
      <c r="B38" s="96"/>
      <c r="C38" s="96"/>
      <c r="D38" s="96"/>
      <c r="E38" s="96"/>
      <c r="F38" s="96"/>
      <c r="G38" s="96"/>
      <c r="H38" s="97"/>
      <c r="I38" s="95"/>
      <c r="J38" s="96"/>
      <c r="K38" s="96"/>
      <c r="L38" s="96"/>
      <c r="M38" s="96"/>
      <c r="N38" s="96"/>
      <c r="O38" s="96"/>
      <c r="P38" s="97"/>
      <c r="R38" s="36">
        <v>5</v>
      </c>
      <c r="S38" s="29"/>
      <c r="T38" s="29">
        <f t="shared" si="3"/>
        <v>1</v>
      </c>
    </row>
    <row r="39" spans="1:26" s="26" customFormat="1" ht="30.95" customHeight="1" x14ac:dyDescent="0.3">
      <c r="A39" s="95"/>
      <c r="B39" s="96"/>
      <c r="C39" s="96"/>
      <c r="D39" s="96"/>
      <c r="E39" s="96"/>
      <c r="F39" s="96"/>
      <c r="G39" s="96"/>
      <c r="H39" s="97"/>
      <c r="I39" s="95"/>
      <c r="J39" s="96"/>
      <c r="K39" s="96"/>
      <c r="L39" s="96"/>
      <c r="M39" s="96"/>
      <c r="N39" s="96"/>
      <c r="O39" s="96"/>
      <c r="P39" s="97"/>
      <c r="R39" s="36">
        <v>6</v>
      </c>
      <c r="S39" s="29"/>
      <c r="T39" s="29">
        <f t="shared" si="3"/>
        <v>1</v>
      </c>
    </row>
    <row r="40" spans="1:26" s="26" customFormat="1" ht="30.95" customHeight="1" x14ac:dyDescent="0.3">
      <c r="A40" s="95"/>
      <c r="B40" s="96"/>
      <c r="C40" s="96"/>
      <c r="D40" s="96"/>
      <c r="E40" s="96"/>
      <c r="F40" s="96"/>
      <c r="G40" s="96"/>
      <c r="H40" s="97"/>
      <c r="I40" s="95"/>
      <c r="J40" s="96"/>
      <c r="K40" s="96"/>
      <c r="L40" s="96"/>
      <c r="M40" s="96"/>
      <c r="N40" s="96"/>
      <c r="O40" s="96"/>
      <c r="P40" s="97"/>
      <c r="R40" s="36">
        <v>7</v>
      </c>
      <c r="S40" s="29"/>
      <c r="T40" s="29">
        <f t="shared" si="3"/>
        <v>1</v>
      </c>
    </row>
    <row r="41" spans="1:26" s="26" customFormat="1" ht="30.95" customHeight="1" x14ac:dyDescent="0.3">
      <c r="A41" s="95"/>
      <c r="B41" s="96"/>
      <c r="C41" s="96"/>
      <c r="D41" s="96"/>
      <c r="E41" s="96"/>
      <c r="F41" s="96"/>
      <c r="G41" s="96"/>
      <c r="H41" s="97"/>
      <c r="I41" s="95"/>
      <c r="J41" s="96"/>
      <c r="K41" s="96"/>
      <c r="L41" s="96"/>
      <c r="M41" s="96"/>
      <c r="N41" s="96"/>
      <c r="O41" s="96"/>
      <c r="P41" s="97"/>
      <c r="R41" s="36">
        <v>8</v>
      </c>
      <c r="S41" s="29"/>
      <c r="T41" s="29">
        <f t="shared" si="3"/>
        <v>1</v>
      </c>
    </row>
    <row r="42" spans="1:26" s="26" customFormat="1" ht="30.95" customHeight="1" x14ac:dyDescent="0.3">
      <c r="A42" s="98"/>
      <c r="B42" s="99"/>
      <c r="C42" s="99"/>
      <c r="D42" s="99"/>
      <c r="E42" s="99"/>
      <c r="F42" s="99"/>
      <c r="G42" s="99"/>
      <c r="H42" s="100"/>
      <c r="I42" s="98"/>
      <c r="J42" s="99"/>
      <c r="K42" s="99"/>
      <c r="L42" s="99"/>
      <c r="M42" s="99"/>
      <c r="N42" s="99"/>
      <c r="O42" s="99"/>
      <c r="P42" s="100"/>
      <c r="R42" s="36">
        <v>9</v>
      </c>
      <c r="S42" s="29"/>
      <c r="T42" s="29">
        <f t="shared" si="3"/>
        <v>1</v>
      </c>
    </row>
    <row r="43" spans="1:26" s="31" customFormat="1" ht="30.95" customHeight="1" x14ac:dyDescent="0.3">
      <c r="A43" s="101" t="str">
        <f>$A$13</f>
        <v>성    명</v>
      </c>
      <c r="B43" s="102"/>
      <c r="C43" s="103" t="str">
        <f>명세서_철거!$B$12</f>
        <v>김홍석</v>
      </c>
      <c r="D43" s="104"/>
      <c r="E43" s="38" t="str">
        <f>$E$13</f>
        <v>연락처</v>
      </c>
      <c r="F43" s="105">
        <f>명세서_철거!$AJ$12</f>
        <v>0</v>
      </c>
      <c r="G43" s="105"/>
      <c r="H43" s="105"/>
      <c r="I43" s="106" t="str">
        <f>$I$13</f>
        <v>은행</v>
      </c>
      <c r="J43" s="107"/>
      <c r="K43" s="39">
        <f>명세서_철거!$AK$12</f>
        <v>0</v>
      </c>
      <c r="L43" s="40" t="str">
        <f>$L$13</f>
        <v>계좌번호</v>
      </c>
      <c r="M43" s="106">
        <f>명세서_철거!$AL$12</f>
        <v>0</v>
      </c>
      <c r="N43" s="108"/>
      <c r="O43" s="108"/>
      <c r="P43" s="107"/>
      <c r="R43" s="36">
        <v>10</v>
      </c>
      <c r="S43" s="36"/>
      <c r="T43" s="29">
        <f>T34</f>
        <v>1</v>
      </c>
      <c r="U43" s="31">
        <f>U33+2</f>
        <v>12</v>
      </c>
      <c r="V43" s="31" t="str">
        <f>V$3&amp;$U43</f>
        <v>B12</v>
      </c>
      <c r="X43" s="31" t="str">
        <f>X$3&amp;$U43</f>
        <v>AJ12</v>
      </c>
      <c r="Y43" s="31" t="str">
        <f>Y$3&amp;$U43</f>
        <v>AK12</v>
      </c>
      <c r="Z43" s="31" t="str">
        <f>Z$3&amp;$U43</f>
        <v>AL12</v>
      </c>
    </row>
    <row r="44" spans="1:26" s="26" customFormat="1" ht="30.95" customHeight="1" x14ac:dyDescent="0.3">
      <c r="A44" s="92" t="s">
        <v>38</v>
      </c>
      <c r="B44" s="93"/>
      <c r="C44" s="93"/>
      <c r="D44" s="93"/>
      <c r="E44" s="93"/>
      <c r="F44" s="93"/>
      <c r="G44" s="93"/>
      <c r="H44" s="94"/>
      <c r="I44" s="92" t="s">
        <v>39</v>
      </c>
      <c r="J44" s="93"/>
      <c r="K44" s="93"/>
      <c r="L44" s="93"/>
      <c r="M44" s="93"/>
      <c r="N44" s="93"/>
      <c r="O44" s="93"/>
      <c r="P44" s="94"/>
      <c r="R44" s="36">
        <v>1</v>
      </c>
      <c r="S44" s="29"/>
      <c r="T44" s="29">
        <f>T34</f>
        <v>1</v>
      </c>
      <c r="U44" s="31"/>
      <c r="W44" s="31"/>
    </row>
    <row r="45" spans="1:26" s="26" customFormat="1" ht="30.95" customHeight="1" x14ac:dyDescent="0.3">
      <c r="A45" s="95"/>
      <c r="B45" s="96"/>
      <c r="C45" s="96"/>
      <c r="D45" s="96"/>
      <c r="E45" s="96"/>
      <c r="F45" s="96"/>
      <c r="G45" s="96"/>
      <c r="H45" s="97"/>
      <c r="I45" s="95"/>
      <c r="J45" s="96"/>
      <c r="K45" s="96"/>
      <c r="L45" s="96"/>
      <c r="M45" s="96"/>
      <c r="N45" s="96"/>
      <c r="O45" s="96"/>
      <c r="P45" s="97"/>
      <c r="R45" s="36">
        <v>2</v>
      </c>
      <c r="S45" s="29"/>
      <c r="T45" s="29">
        <f>T44</f>
        <v>1</v>
      </c>
    </row>
    <row r="46" spans="1:26" s="26" customFormat="1" ht="30.95" customHeight="1" x14ac:dyDescent="0.3">
      <c r="A46" s="95"/>
      <c r="B46" s="96"/>
      <c r="C46" s="96"/>
      <c r="D46" s="96"/>
      <c r="E46" s="96"/>
      <c r="F46" s="96"/>
      <c r="G46" s="96"/>
      <c r="H46" s="97"/>
      <c r="I46" s="95"/>
      <c r="J46" s="96"/>
      <c r="K46" s="96"/>
      <c r="L46" s="96"/>
      <c r="M46" s="96"/>
      <c r="N46" s="96"/>
      <c r="O46" s="96"/>
      <c r="P46" s="97"/>
      <c r="R46" s="36">
        <v>3</v>
      </c>
      <c r="S46" s="29"/>
      <c r="T46" s="29">
        <f t="shared" si="1"/>
        <v>1</v>
      </c>
    </row>
    <row r="47" spans="1:26" s="26" customFormat="1" ht="30.95" customHeight="1" x14ac:dyDescent="0.3">
      <c r="A47" s="95"/>
      <c r="B47" s="96"/>
      <c r="C47" s="96"/>
      <c r="D47" s="96"/>
      <c r="E47" s="96"/>
      <c r="F47" s="96"/>
      <c r="G47" s="96"/>
      <c r="H47" s="97"/>
      <c r="I47" s="95"/>
      <c r="J47" s="96"/>
      <c r="K47" s="96"/>
      <c r="L47" s="96"/>
      <c r="M47" s="96"/>
      <c r="N47" s="96"/>
      <c r="O47" s="96"/>
      <c r="P47" s="97"/>
      <c r="R47" s="36">
        <v>4</v>
      </c>
      <c r="S47" s="29"/>
      <c r="T47" s="29">
        <f t="shared" si="1"/>
        <v>1</v>
      </c>
    </row>
    <row r="48" spans="1:26" s="26" customFormat="1" ht="30.95" customHeight="1" x14ac:dyDescent="0.3">
      <c r="A48" s="95"/>
      <c r="B48" s="96"/>
      <c r="C48" s="96"/>
      <c r="D48" s="96"/>
      <c r="E48" s="96"/>
      <c r="F48" s="96"/>
      <c r="G48" s="96"/>
      <c r="H48" s="97"/>
      <c r="I48" s="95"/>
      <c r="J48" s="96"/>
      <c r="K48" s="96"/>
      <c r="L48" s="96"/>
      <c r="M48" s="96"/>
      <c r="N48" s="96"/>
      <c r="O48" s="96"/>
      <c r="P48" s="97"/>
      <c r="R48" s="36">
        <v>5</v>
      </c>
      <c r="S48" s="29"/>
      <c r="T48" s="29">
        <f t="shared" si="1"/>
        <v>1</v>
      </c>
    </row>
    <row r="49" spans="1:26" s="26" customFormat="1" ht="30.95" customHeight="1" x14ac:dyDescent="0.3">
      <c r="A49" s="95"/>
      <c r="B49" s="96"/>
      <c r="C49" s="96"/>
      <c r="D49" s="96"/>
      <c r="E49" s="96"/>
      <c r="F49" s="96"/>
      <c r="G49" s="96"/>
      <c r="H49" s="97"/>
      <c r="I49" s="95"/>
      <c r="J49" s="96"/>
      <c r="K49" s="96"/>
      <c r="L49" s="96"/>
      <c r="M49" s="96"/>
      <c r="N49" s="96"/>
      <c r="O49" s="96"/>
      <c r="P49" s="97"/>
      <c r="R49" s="36">
        <v>6</v>
      </c>
      <c r="S49" s="29"/>
      <c r="T49" s="29">
        <f t="shared" si="1"/>
        <v>1</v>
      </c>
    </row>
    <row r="50" spans="1:26" s="26" customFormat="1" ht="30.95" customHeight="1" x14ac:dyDescent="0.3">
      <c r="A50" s="95"/>
      <c r="B50" s="96"/>
      <c r="C50" s="96"/>
      <c r="D50" s="96"/>
      <c r="E50" s="96"/>
      <c r="F50" s="96"/>
      <c r="G50" s="96"/>
      <c r="H50" s="97"/>
      <c r="I50" s="95"/>
      <c r="J50" s="96"/>
      <c r="K50" s="96"/>
      <c r="L50" s="96"/>
      <c r="M50" s="96"/>
      <c r="N50" s="96"/>
      <c r="O50" s="96"/>
      <c r="P50" s="97"/>
      <c r="R50" s="36">
        <v>7</v>
      </c>
      <c r="S50" s="29"/>
      <c r="T50" s="29">
        <f t="shared" si="1"/>
        <v>1</v>
      </c>
    </row>
    <row r="51" spans="1:26" s="26" customFormat="1" ht="30.95" customHeight="1" x14ac:dyDescent="0.3">
      <c r="A51" s="95"/>
      <c r="B51" s="96"/>
      <c r="C51" s="96"/>
      <c r="D51" s="96"/>
      <c r="E51" s="96"/>
      <c r="F51" s="96"/>
      <c r="G51" s="96"/>
      <c r="H51" s="97"/>
      <c r="I51" s="95"/>
      <c r="J51" s="96"/>
      <c r="K51" s="96"/>
      <c r="L51" s="96"/>
      <c r="M51" s="96"/>
      <c r="N51" s="96"/>
      <c r="O51" s="96"/>
      <c r="P51" s="97"/>
      <c r="R51" s="36">
        <v>8</v>
      </c>
      <c r="S51" s="29"/>
      <c r="T51" s="29">
        <f t="shared" si="1"/>
        <v>1</v>
      </c>
    </row>
    <row r="52" spans="1:26" s="26" customFormat="1" ht="30.95" customHeight="1" x14ac:dyDescent="0.3">
      <c r="A52" s="98"/>
      <c r="B52" s="99"/>
      <c r="C52" s="99"/>
      <c r="D52" s="99"/>
      <c r="E52" s="99"/>
      <c r="F52" s="99"/>
      <c r="G52" s="99"/>
      <c r="H52" s="100"/>
      <c r="I52" s="98"/>
      <c r="J52" s="99"/>
      <c r="K52" s="99"/>
      <c r="L52" s="99"/>
      <c r="M52" s="99"/>
      <c r="N52" s="99"/>
      <c r="O52" s="99"/>
      <c r="P52" s="100"/>
      <c r="R52" s="36">
        <v>9</v>
      </c>
      <c r="S52" s="29"/>
      <c r="T52" s="29">
        <f t="shared" si="1"/>
        <v>1</v>
      </c>
    </row>
    <row r="53" spans="1:26" s="31" customFormat="1" ht="30.95" customHeight="1" x14ac:dyDescent="0.3">
      <c r="A53" s="101" t="str">
        <f>$A$13</f>
        <v>성    명</v>
      </c>
      <c r="B53" s="102"/>
      <c r="C53" s="103" t="str">
        <f>명세서_철거!$B$14</f>
        <v>김희석</v>
      </c>
      <c r="D53" s="104"/>
      <c r="E53" s="38" t="str">
        <f>$E$13</f>
        <v>연락처</v>
      </c>
      <c r="F53" s="105">
        <f>명세서_철거!$AJ$14</f>
        <v>0</v>
      </c>
      <c r="G53" s="105"/>
      <c r="H53" s="105"/>
      <c r="I53" s="106" t="str">
        <f>$I$13</f>
        <v>은행</v>
      </c>
      <c r="J53" s="107"/>
      <c r="K53" s="39">
        <f>명세서_철거!$AK$14</f>
        <v>0</v>
      </c>
      <c r="L53" s="40" t="str">
        <f>$L$13</f>
        <v>계좌번호</v>
      </c>
      <c r="M53" s="106">
        <f>명세서_철거!$AL$14</f>
        <v>0</v>
      </c>
      <c r="N53" s="108"/>
      <c r="O53" s="108"/>
      <c r="P53" s="107"/>
      <c r="R53" s="36">
        <v>10</v>
      </c>
      <c r="S53" s="36"/>
      <c r="T53" s="29">
        <f>T34</f>
        <v>1</v>
      </c>
      <c r="U53" s="31">
        <f>U43+2</f>
        <v>14</v>
      </c>
      <c r="V53" s="31" t="str">
        <f>V$3&amp;$U53</f>
        <v>B14</v>
      </c>
      <c r="X53" s="31" t="str">
        <f>X$3&amp;$U53</f>
        <v>AJ14</v>
      </c>
      <c r="Y53" s="31" t="str">
        <f>Y$3&amp;$U53</f>
        <v>AK14</v>
      </c>
      <c r="Z53" s="31" t="str">
        <f>Z$3&amp;$U53</f>
        <v>AL14</v>
      </c>
    </row>
    <row r="54" spans="1:26" s="26" customFormat="1" ht="30.95" customHeight="1" x14ac:dyDescent="0.3">
      <c r="A54" s="92" t="s">
        <v>38</v>
      </c>
      <c r="B54" s="93"/>
      <c r="C54" s="93"/>
      <c r="D54" s="93"/>
      <c r="E54" s="93"/>
      <c r="F54" s="93"/>
      <c r="G54" s="93"/>
      <c r="H54" s="94"/>
      <c r="I54" s="92" t="s">
        <v>39</v>
      </c>
      <c r="J54" s="93"/>
      <c r="K54" s="93"/>
      <c r="L54" s="93"/>
      <c r="M54" s="93"/>
      <c r="N54" s="93"/>
      <c r="O54" s="93"/>
      <c r="P54" s="94"/>
      <c r="R54" s="36">
        <v>1</v>
      </c>
      <c r="S54" s="29"/>
      <c r="T54" s="29">
        <f>T34</f>
        <v>1</v>
      </c>
      <c r="U54" s="31"/>
      <c r="W54" s="31"/>
    </row>
    <row r="55" spans="1:26" s="26" customFormat="1" ht="30.95" customHeight="1" x14ac:dyDescent="0.3">
      <c r="A55" s="95"/>
      <c r="B55" s="96"/>
      <c r="C55" s="96"/>
      <c r="D55" s="96"/>
      <c r="E55" s="96"/>
      <c r="F55" s="96"/>
      <c r="G55" s="96"/>
      <c r="H55" s="97"/>
      <c r="I55" s="95"/>
      <c r="J55" s="96"/>
      <c r="K55" s="96"/>
      <c r="L55" s="96"/>
      <c r="M55" s="96"/>
      <c r="N55" s="96"/>
      <c r="O55" s="96"/>
      <c r="P55" s="97"/>
      <c r="R55" s="36">
        <v>2</v>
      </c>
      <c r="S55" s="29"/>
      <c r="T55" s="29">
        <f>T54</f>
        <v>1</v>
      </c>
    </row>
    <row r="56" spans="1:26" s="26" customFormat="1" ht="30.95" customHeight="1" x14ac:dyDescent="0.3">
      <c r="A56" s="95"/>
      <c r="B56" s="96"/>
      <c r="C56" s="96"/>
      <c r="D56" s="96"/>
      <c r="E56" s="96"/>
      <c r="F56" s="96"/>
      <c r="G56" s="96"/>
      <c r="H56" s="97"/>
      <c r="I56" s="95"/>
      <c r="J56" s="96"/>
      <c r="K56" s="96"/>
      <c r="L56" s="96"/>
      <c r="M56" s="96"/>
      <c r="N56" s="96"/>
      <c r="O56" s="96"/>
      <c r="P56" s="97"/>
      <c r="R56" s="36">
        <v>3</v>
      </c>
      <c r="S56" s="29"/>
      <c r="T56" s="29">
        <f t="shared" ref="T56:T63" si="4">T55</f>
        <v>1</v>
      </c>
    </row>
    <row r="57" spans="1:26" s="26" customFormat="1" ht="30.95" customHeight="1" x14ac:dyDescent="0.3">
      <c r="A57" s="95"/>
      <c r="B57" s="96"/>
      <c r="C57" s="96"/>
      <c r="D57" s="96"/>
      <c r="E57" s="96"/>
      <c r="F57" s="96"/>
      <c r="G57" s="96"/>
      <c r="H57" s="97"/>
      <c r="I57" s="95"/>
      <c r="J57" s="96"/>
      <c r="K57" s="96"/>
      <c r="L57" s="96"/>
      <c r="M57" s="96"/>
      <c r="N57" s="96"/>
      <c r="O57" s="96"/>
      <c r="P57" s="97"/>
      <c r="R57" s="36">
        <v>4</v>
      </c>
      <c r="S57" s="29"/>
      <c r="T57" s="29">
        <f t="shared" si="4"/>
        <v>1</v>
      </c>
    </row>
    <row r="58" spans="1:26" s="26" customFormat="1" ht="30.95" customHeight="1" x14ac:dyDescent="0.3">
      <c r="A58" s="95"/>
      <c r="B58" s="96"/>
      <c r="C58" s="96"/>
      <c r="D58" s="96"/>
      <c r="E58" s="96"/>
      <c r="F58" s="96"/>
      <c r="G58" s="96"/>
      <c r="H58" s="97"/>
      <c r="I58" s="95"/>
      <c r="J58" s="96"/>
      <c r="K58" s="96"/>
      <c r="L58" s="96"/>
      <c r="M58" s="96"/>
      <c r="N58" s="96"/>
      <c r="O58" s="96"/>
      <c r="P58" s="97"/>
      <c r="R58" s="36">
        <v>5</v>
      </c>
      <c r="S58" s="29"/>
      <c r="T58" s="29">
        <f t="shared" si="4"/>
        <v>1</v>
      </c>
    </row>
    <row r="59" spans="1:26" s="26" customFormat="1" ht="30.95" customHeight="1" x14ac:dyDescent="0.3">
      <c r="A59" s="95"/>
      <c r="B59" s="96"/>
      <c r="C59" s="96"/>
      <c r="D59" s="96"/>
      <c r="E59" s="96"/>
      <c r="F59" s="96"/>
      <c r="G59" s="96"/>
      <c r="H59" s="97"/>
      <c r="I59" s="95"/>
      <c r="J59" s="96"/>
      <c r="K59" s="96"/>
      <c r="L59" s="96"/>
      <c r="M59" s="96"/>
      <c r="N59" s="96"/>
      <c r="O59" s="96"/>
      <c r="P59" s="97"/>
      <c r="R59" s="36">
        <v>6</v>
      </c>
      <c r="S59" s="29"/>
      <c r="T59" s="29">
        <f t="shared" si="4"/>
        <v>1</v>
      </c>
    </row>
    <row r="60" spans="1:26" s="26" customFormat="1" ht="30.95" customHeight="1" x14ac:dyDescent="0.3">
      <c r="A60" s="95"/>
      <c r="B60" s="96"/>
      <c r="C60" s="96"/>
      <c r="D60" s="96"/>
      <c r="E60" s="96"/>
      <c r="F60" s="96"/>
      <c r="G60" s="96"/>
      <c r="H60" s="97"/>
      <c r="I60" s="95"/>
      <c r="J60" s="96"/>
      <c r="K60" s="96"/>
      <c r="L60" s="96"/>
      <c r="M60" s="96"/>
      <c r="N60" s="96"/>
      <c r="O60" s="96"/>
      <c r="P60" s="97"/>
      <c r="R60" s="36">
        <v>7</v>
      </c>
      <c r="S60" s="29"/>
      <c r="T60" s="29">
        <f t="shared" si="4"/>
        <v>1</v>
      </c>
    </row>
    <row r="61" spans="1:26" s="26" customFormat="1" ht="30.95" customHeight="1" x14ac:dyDescent="0.3">
      <c r="A61" s="95"/>
      <c r="B61" s="96"/>
      <c r="C61" s="96"/>
      <c r="D61" s="96"/>
      <c r="E61" s="96"/>
      <c r="F61" s="96"/>
      <c r="G61" s="96"/>
      <c r="H61" s="97"/>
      <c r="I61" s="95"/>
      <c r="J61" s="96"/>
      <c r="K61" s="96"/>
      <c r="L61" s="96"/>
      <c r="M61" s="96"/>
      <c r="N61" s="96"/>
      <c r="O61" s="96"/>
      <c r="P61" s="97"/>
      <c r="R61" s="36">
        <v>8</v>
      </c>
      <c r="S61" s="29"/>
      <c r="T61" s="29">
        <f t="shared" si="4"/>
        <v>1</v>
      </c>
    </row>
    <row r="62" spans="1:26" s="26" customFormat="1" ht="30.95" customHeight="1" x14ac:dyDescent="0.3">
      <c r="A62" s="98"/>
      <c r="B62" s="99"/>
      <c r="C62" s="99"/>
      <c r="D62" s="99"/>
      <c r="E62" s="99"/>
      <c r="F62" s="99"/>
      <c r="G62" s="99"/>
      <c r="H62" s="100"/>
      <c r="I62" s="98"/>
      <c r="J62" s="99"/>
      <c r="K62" s="99"/>
      <c r="L62" s="99"/>
      <c r="M62" s="99"/>
      <c r="N62" s="99"/>
      <c r="O62" s="99"/>
      <c r="P62" s="100"/>
      <c r="R62" s="36">
        <v>9</v>
      </c>
      <c r="S62" s="29"/>
      <c r="T62" s="29">
        <f t="shared" si="4"/>
        <v>1</v>
      </c>
    </row>
    <row r="63" spans="1:26" s="31" customFormat="1" ht="30.95" customHeight="1" x14ac:dyDescent="0.3">
      <c r="A63" s="101" t="str">
        <f>$A$13</f>
        <v>성    명</v>
      </c>
      <c r="B63" s="102"/>
      <c r="C63" s="103" t="str">
        <f>명세서_철거!$B$16</f>
        <v>박덕호</v>
      </c>
      <c r="D63" s="104"/>
      <c r="E63" s="38" t="str">
        <f>$E$13</f>
        <v>연락처</v>
      </c>
      <c r="F63" s="105">
        <f>명세서_철거!$AJ$16</f>
        <v>0</v>
      </c>
      <c r="G63" s="105"/>
      <c r="H63" s="105"/>
      <c r="I63" s="106" t="str">
        <f>$I$13</f>
        <v>은행</v>
      </c>
      <c r="J63" s="107"/>
      <c r="K63" s="39">
        <f>명세서_철거!$AK$16</f>
        <v>0</v>
      </c>
      <c r="L63" s="40" t="str">
        <f>$L$13</f>
        <v>계좌번호</v>
      </c>
      <c r="M63" s="106">
        <f>명세서_철거!$AL$16</f>
        <v>0</v>
      </c>
      <c r="N63" s="108"/>
      <c r="O63" s="108"/>
      <c r="P63" s="107"/>
      <c r="R63" s="36">
        <v>10</v>
      </c>
      <c r="S63" s="36"/>
      <c r="T63" s="29">
        <f t="shared" si="4"/>
        <v>1</v>
      </c>
      <c r="U63" s="31">
        <f>U53+2</f>
        <v>16</v>
      </c>
      <c r="V63" s="31" t="str">
        <f>V$3&amp;$U63</f>
        <v>B16</v>
      </c>
      <c r="X63" s="31" t="str">
        <f>X$3&amp;$U63</f>
        <v>AJ16</v>
      </c>
      <c r="Y63" s="31" t="str">
        <f>Y$3&amp;$U63</f>
        <v>AK16</v>
      </c>
      <c r="Z63" s="31" t="str">
        <f>Z$3&amp;$U63</f>
        <v>AL16</v>
      </c>
    </row>
    <row r="64" spans="1:26" s="26" customFormat="1" ht="30.95" customHeight="1" x14ac:dyDescent="0.3">
      <c r="A64" s="92" t="s">
        <v>38</v>
      </c>
      <c r="B64" s="93"/>
      <c r="C64" s="93"/>
      <c r="D64" s="93"/>
      <c r="E64" s="93"/>
      <c r="F64" s="93"/>
      <c r="G64" s="93"/>
      <c r="H64" s="94"/>
      <c r="I64" s="92" t="s">
        <v>39</v>
      </c>
      <c r="J64" s="93"/>
      <c r="K64" s="93"/>
      <c r="L64" s="93"/>
      <c r="M64" s="93"/>
      <c r="N64" s="93"/>
      <c r="O64" s="93"/>
      <c r="P64" s="94"/>
      <c r="R64" s="36">
        <v>1</v>
      </c>
      <c r="S64" s="29">
        <f>S34+1</f>
        <v>3</v>
      </c>
      <c r="T64" s="37">
        <f>IF(명세서_철거!$AE$18=0,0,1)</f>
        <v>1</v>
      </c>
      <c r="U64" s="31">
        <f>U73</f>
        <v>18</v>
      </c>
      <c r="W64" s="31" t="str">
        <f>W$3&amp;$U64</f>
        <v>AE18</v>
      </c>
    </row>
    <row r="65" spans="1:26" s="26" customFormat="1" ht="30.95" customHeight="1" x14ac:dyDescent="0.3">
      <c r="A65" s="95"/>
      <c r="B65" s="96"/>
      <c r="C65" s="96"/>
      <c r="D65" s="96"/>
      <c r="E65" s="96"/>
      <c r="F65" s="96"/>
      <c r="G65" s="96"/>
      <c r="H65" s="97"/>
      <c r="I65" s="95"/>
      <c r="J65" s="96"/>
      <c r="K65" s="96"/>
      <c r="L65" s="96"/>
      <c r="M65" s="96"/>
      <c r="N65" s="96"/>
      <c r="O65" s="96"/>
      <c r="P65" s="97"/>
      <c r="R65" s="36">
        <v>2</v>
      </c>
      <c r="S65" s="29"/>
      <c r="T65" s="29">
        <f t="shared" ref="T65:T128" si="5">T64</f>
        <v>1</v>
      </c>
    </row>
    <row r="66" spans="1:26" s="26" customFormat="1" ht="30.95" customHeight="1" x14ac:dyDescent="0.3">
      <c r="A66" s="95"/>
      <c r="B66" s="96"/>
      <c r="C66" s="96"/>
      <c r="D66" s="96"/>
      <c r="E66" s="96"/>
      <c r="F66" s="96"/>
      <c r="G66" s="96"/>
      <c r="H66" s="97"/>
      <c r="I66" s="95"/>
      <c r="J66" s="96"/>
      <c r="K66" s="96"/>
      <c r="L66" s="96"/>
      <c r="M66" s="96"/>
      <c r="N66" s="96"/>
      <c r="O66" s="96"/>
      <c r="P66" s="97"/>
      <c r="R66" s="36">
        <v>3</v>
      </c>
      <c r="S66" s="29"/>
      <c r="T66" s="29">
        <f t="shared" si="5"/>
        <v>1</v>
      </c>
    </row>
    <row r="67" spans="1:26" s="26" customFormat="1" ht="30.95" customHeight="1" x14ac:dyDescent="0.3">
      <c r="A67" s="95"/>
      <c r="B67" s="96"/>
      <c r="C67" s="96"/>
      <c r="D67" s="96"/>
      <c r="E67" s="96"/>
      <c r="F67" s="96"/>
      <c r="G67" s="96"/>
      <c r="H67" s="97"/>
      <c r="I67" s="95"/>
      <c r="J67" s="96"/>
      <c r="K67" s="96"/>
      <c r="L67" s="96"/>
      <c r="M67" s="96"/>
      <c r="N67" s="96"/>
      <c r="O67" s="96"/>
      <c r="P67" s="97"/>
      <c r="R67" s="36">
        <v>4</v>
      </c>
      <c r="S67" s="29"/>
      <c r="T67" s="29">
        <f t="shared" si="5"/>
        <v>1</v>
      </c>
    </row>
    <row r="68" spans="1:26" s="26" customFormat="1" ht="30.95" customHeight="1" x14ac:dyDescent="0.3">
      <c r="A68" s="95"/>
      <c r="B68" s="96"/>
      <c r="C68" s="96"/>
      <c r="D68" s="96"/>
      <c r="E68" s="96"/>
      <c r="F68" s="96"/>
      <c r="G68" s="96"/>
      <c r="H68" s="97"/>
      <c r="I68" s="95"/>
      <c r="J68" s="96"/>
      <c r="K68" s="96"/>
      <c r="L68" s="96"/>
      <c r="M68" s="96"/>
      <c r="N68" s="96"/>
      <c r="O68" s="96"/>
      <c r="P68" s="97"/>
      <c r="R68" s="36">
        <v>5</v>
      </c>
      <c r="S68" s="29"/>
      <c r="T68" s="29">
        <f t="shared" si="5"/>
        <v>1</v>
      </c>
    </row>
    <row r="69" spans="1:26" s="26" customFormat="1" ht="30.95" customHeight="1" x14ac:dyDescent="0.3">
      <c r="A69" s="95"/>
      <c r="B69" s="96"/>
      <c r="C69" s="96"/>
      <c r="D69" s="96"/>
      <c r="E69" s="96"/>
      <c r="F69" s="96"/>
      <c r="G69" s="96"/>
      <c r="H69" s="97"/>
      <c r="I69" s="95"/>
      <c r="J69" s="96"/>
      <c r="K69" s="96"/>
      <c r="L69" s="96"/>
      <c r="M69" s="96"/>
      <c r="N69" s="96"/>
      <c r="O69" s="96"/>
      <c r="P69" s="97"/>
      <c r="R69" s="36">
        <v>6</v>
      </c>
      <c r="S69" s="29"/>
      <c r="T69" s="29">
        <f t="shared" si="5"/>
        <v>1</v>
      </c>
    </row>
    <row r="70" spans="1:26" s="26" customFormat="1" ht="30.95" customHeight="1" x14ac:dyDescent="0.3">
      <c r="A70" s="95"/>
      <c r="B70" s="96"/>
      <c r="C70" s="96"/>
      <c r="D70" s="96"/>
      <c r="E70" s="96"/>
      <c r="F70" s="96"/>
      <c r="G70" s="96"/>
      <c r="H70" s="97"/>
      <c r="I70" s="95"/>
      <c r="J70" s="96"/>
      <c r="K70" s="96"/>
      <c r="L70" s="96"/>
      <c r="M70" s="96"/>
      <c r="N70" s="96"/>
      <c r="O70" s="96"/>
      <c r="P70" s="97"/>
      <c r="R70" s="36">
        <v>7</v>
      </c>
      <c r="S70" s="29"/>
      <c r="T70" s="29">
        <f t="shared" si="5"/>
        <v>1</v>
      </c>
    </row>
    <row r="71" spans="1:26" s="26" customFormat="1" ht="30.95" customHeight="1" x14ac:dyDescent="0.3">
      <c r="A71" s="95"/>
      <c r="B71" s="96"/>
      <c r="C71" s="96"/>
      <c r="D71" s="96"/>
      <c r="E71" s="96"/>
      <c r="F71" s="96"/>
      <c r="G71" s="96"/>
      <c r="H71" s="97"/>
      <c r="I71" s="95"/>
      <c r="J71" s="96"/>
      <c r="K71" s="96"/>
      <c r="L71" s="96"/>
      <c r="M71" s="96"/>
      <c r="N71" s="96"/>
      <c r="O71" s="96"/>
      <c r="P71" s="97"/>
      <c r="R71" s="36">
        <v>8</v>
      </c>
      <c r="S71" s="29"/>
      <c r="T71" s="29">
        <f t="shared" si="5"/>
        <v>1</v>
      </c>
    </row>
    <row r="72" spans="1:26" s="26" customFormat="1" ht="30.95" customHeight="1" x14ac:dyDescent="0.3">
      <c r="A72" s="98"/>
      <c r="B72" s="99"/>
      <c r="C72" s="99"/>
      <c r="D72" s="99"/>
      <c r="E72" s="99"/>
      <c r="F72" s="99"/>
      <c r="G72" s="99"/>
      <c r="H72" s="100"/>
      <c r="I72" s="98"/>
      <c r="J72" s="99"/>
      <c r="K72" s="99"/>
      <c r="L72" s="99"/>
      <c r="M72" s="99"/>
      <c r="N72" s="99"/>
      <c r="O72" s="99"/>
      <c r="P72" s="100"/>
      <c r="R72" s="36">
        <v>9</v>
      </c>
      <c r="S72" s="29"/>
      <c r="T72" s="29">
        <f t="shared" si="5"/>
        <v>1</v>
      </c>
    </row>
    <row r="73" spans="1:26" s="31" customFormat="1" ht="30.95" customHeight="1" x14ac:dyDescent="0.3">
      <c r="A73" s="101" t="str">
        <f t="shared" ref="A73" si="6">$A$13</f>
        <v>성    명</v>
      </c>
      <c r="B73" s="102"/>
      <c r="C73" s="103" t="str">
        <f>명세서_철거!$B$18</f>
        <v>박상흠</v>
      </c>
      <c r="D73" s="104"/>
      <c r="E73" s="38" t="str">
        <f t="shared" ref="E73" si="7">$E$13</f>
        <v>연락처</v>
      </c>
      <c r="F73" s="105">
        <f>명세서_철거!$AJ$18</f>
        <v>0</v>
      </c>
      <c r="G73" s="105"/>
      <c r="H73" s="105"/>
      <c r="I73" s="106" t="str">
        <f t="shared" ref="I73" si="8">$I$13</f>
        <v>은행</v>
      </c>
      <c r="J73" s="107"/>
      <c r="K73" s="39">
        <f>명세서_철거!$AK$18</f>
        <v>0</v>
      </c>
      <c r="L73" s="40" t="str">
        <f t="shared" ref="L73" si="9">$L$13</f>
        <v>계좌번호</v>
      </c>
      <c r="M73" s="106">
        <f>명세서_철거!$AL$18</f>
        <v>0</v>
      </c>
      <c r="N73" s="108"/>
      <c r="O73" s="108"/>
      <c r="P73" s="107"/>
      <c r="R73" s="36">
        <v>10</v>
      </c>
      <c r="S73" s="36"/>
      <c r="T73" s="29">
        <f t="shared" ref="T73" si="10">T64</f>
        <v>1</v>
      </c>
      <c r="U73" s="31">
        <f>U63+2</f>
        <v>18</v>
      </c>
      <c r="V73" s="31" t="str">
        <f>V$3&amp;$U73</f>
        <v>B18</v>
      </c>
      <c r="X73" s="31" t="str">
        <f>X$3&amp;$U73</f>
        <v>AJ18</v>
      </c>
      <c r="Y73" s="31" t="str">
        <f>Y$3&amp;$U73</f>
        <v>AK18</v>
      </c>
      <c r="Z73" s="31" t="str">
        <f>Z$3&amp;$U73</f>
        <v>AL18</v>
      </c>
    </row>
    <row r="74" spans="1:26" s="26" customFormat="1" ht="30.95" customHeight="1" x14ac:dyDescent="0.3">
      <c r="A74" s="92" t="s">
        <v>38</v>
      </c>
      <c r="B74" s="93"/>
      <c r="C74" s="93"/>
      <c r="D74" s="93"/>
      <c r="E74" s="93"/>
      <c r="F74" s="93"/>
      <c r="G74" s="93"/>
      <c r="H74" s="94"/>
      <c r="I74" s="92" t="s">
        <v>39</v>
      </c>
      <c r="J74" s="93"/>
      <c r="K74" s="93"/>
      <c r="L74" s="93"/>
      <c r="M74" s="93"/>
      <c r="N74" s="93"/>
      <c r="O74" s="93"/>
      <c r="P74" s="94"/>
      <c r="R74" s="36">
        <v>1</v>
      </c>
      <c r="S74" s="29"/>
      <c r="T74" s="29">
        <f t="shared" ref="T74" si="11">T64</f>
        <v>1</v>
      </c>
      <c r="U74" s="31"/>
      <c r="W74" s="31"/>
    </row>
    <row r="75" spans="1:26" s="26" customFormat="1" ht="30.95" customHeight="1" x14ac:dyDescent="0.3">
      <c r="A75" s="95"/>
      <c r="B75" s="96"/>
      <c r="C75" s="96"/>
      <c r="D75" s="96"/>
      <c r="E75" s="96"/>
      <c r="F75" s="96"/>
      <c r="G75" s="96"/>
      <c r="H75" s="97"/>
      <c r="I75" s="95"/>
      <c r="J75" s="96"/>
      <c r="K75" s="96"/>
      <c r="L75" s="96"/>
      <c r="M75" s="96"/>
      <c r="N75" s="96"/>
      <c r="O75" s="96"/>
      <c r="P75" s="97"/>
      <c r="R75" s="36">
        <v>2</v>
      </c>
      <c r="S75" s="29"/>
      <c r="T75" s="29">
        <f t="shared" ref="T75" si="12">T74</f>
        <v>1</v>
      </c>
    </row>
    <row r="76" spans="1:26" s="26" customFormat="1" ht="30.95" customHeight="1" x14ac:dyDescent="0.3">
      <c r="A76" s="95"/>
      <c r="B76" s="96"/>
      <c r="C76" s="96"/>
      <c r="D76" s="96"/>
      <c r="E76" s="96"/>
      <c r="F76" s="96"/>
      <c r="G76" s="96"/>
      <c r="H76" s="97"/>
      <c r="I76" s="95"/>
      <c r="J76" s="96"/>
      <c r="K76" s="96"/>
      <c r="L76" s="96"/>
      <c r="M76" s="96"/>
      <c r="N76" s="96"/>
      <c r="O76" s="96"/>
      <c r="P76" s="97"/>
      <c r="R76" s="36">
        <v>3</v>
      </c>
      <c r="S76" s="29"/>
      <c r="T76" s="29">
        <f t="shared" si="1"/>
        <v>1</v>
      </c>
    </row>
    <row r="77" spans="1:26" s="26" customFormat="1" ht="30.95" customHeight="1" x14ac:dyDescent="0.3">
      <c r="A77" s="95"/>
      <c r="B77" s="96"/>
      <c r="C77" s="96"/>
      <c r="D77" s="96"/>
      <c r="E77" s="96"/>
      <c r="F77" s="96"/>
      <c r="G77" s="96"/>
      <c r="H77" s="97"/>
      <c r="I77" s="95"/>
      <c r="J77" s="96"/>
      <c r="K77" s="96"/>
      <c r="L77" s="96"/>
      <c r="M77" s="96"/>
      <c r="N77" s="96"/>
      <c r="O77" s="96"/>
      <c r="P77" s="97"/>
      <c r="R77" s="36">
        <v>4</v>
      </c>
      <c r="S77" s="29"/>
      <c r="T77" s="29">
        <f t="shared" si="1"/>
        <v>1</v>
      </c>
    </row>
    <row r="78" spans="1:26" s="26" customFormat="1" ht="30.95" customHeight="1" x14ac:dyDescent="0.3">
      <c r="A78" s="95"/>
      <c r="B78" s="96"/>
      <c r="C78" s="96"/>
      <c r="D78" s="96"/>
      <c r="E78" s="96"/>
      <c r="F78" s="96"/>
      <c r="G78" s="96"/>
      <c r="H78" s="97"/>
      <c r="I78" s="95"/>
      <c r="J78" s="96"/>
      <c r="K78" s="96"/>
      <c r="L78" s="96"/>
      <c r="M78" s="96"/>
      <c r="N78" s="96"/>
      <c r="O78" s="96"/>
      <c r="P78" s="97"/>
      <c r="R78" s="36">
        <v>5</v>
      </c>
      <c r="S78" s="29"/>
      <c r="T78" s="29">
        <f t="shared" si="1"/>
        <v>1</v>
      </c>
    </row>
    <row r="79" spans="1:26" s="26" customFormat="1" ht="30.95" customHeight="1" x14ac:dyDescent="0.3">
      <c r="A79" s="95"/>
      <c r="B79" s="96"/>
      <c r="C79" s="96"/>
      <c r="D79" s="96"/>
      <c r="E79" s="96"/>
      <c r="F79" s="96"/>
      <c r="G79" s="96"/>
      <c r="H79" s="97"/>
      <c r="I79" s="95"/>
      <c r="J79" s="96"/>
      <c r="K79" s="96"/>
      <c r="L79" s="96"/>
      <c r="M79" s="96"/>
      <c r="N79" s="96"/>
      <c r="O79" s="96"/>
      <c r="P79" s="97"/>
      <c r="R79" s="36">
        <v>6</v>
      </c>
      <c r="S79" s="29"/>
      <c r="T79" s="29">
        <f t="shared" si="1"/>
        <v>1</v>
      </c>
    </row>
    <row r="80" spans="1:26" s="26" customFormat="1" ht="30.95" customHeight="1" x14ac:dyDescent="0.3">
      <c r="A80" s="95"/>
      <c r="B80" s="96"/>
      <c r="C80" s="96"/>
      <c r="D80" s="96"/>
      <c r="E80" s="96"/>
      <c r="F80" s="96"/>
      <c r="G80" s="96"/>
      <c r="H80" s="97"/>
      <c r="I80" s="95"/>
      <c r="J80" s="96"/>
      <c r="K80" s="96"/>
      <c r="L80" s="96"/>
      <c r="M80" s="96"/>
      <c r="N80" s="96"/>
      <c r="O80" s="96"/>
      <c r="P80" s="97"/>
      <c r="R80" s="36">
        <v>7</v>
      </c>
      <c r="S80" s="29"/>
      <c r="T80" s="29">
        <f t="shared" ref="T80:T142" si="13">T79</f>
        <v>1</v>
      </c>
    </row>
    <row r="81" spans="1:26" s="26" customFormat="1" ht="30.95" customHeight="1" x14ac:dyDescent="0.3">
      <c r="A81" s="95"/>
      <c r="B81" s="96"/>
      <c r="C81" s="96"/>
      <c r="D81" s="96"/>
      <c r="E81" s="96"/>
      <c r="F81" s="96"/>
      <c r="G81" s="96"/>
      <c r="H81" s="97"/>
      <c r="I81" s="95"/>
      <c r="J81" s="96"/>
      <c r="K81" s="96"/>
      <c r="L81" s="96"/>
      <c r="M81" s="96"/>
      <c r="N81" s="96"/>
      <c r="O81" s="96"/>
      <c r="P81" s="97"/>
      <c r="R81" s="36">
        <v>8</v>
      </c>
      <c r="S81" s="29"/>
      <c r="T81" s="29">
        <f t="shared" si="13"/>
        <v>1</v>
      </c>
    </row>
    <row r="82" spans="1:26" s="26" customFormat="1" ht="30.95" customHeight="1" x14ac:dyDescent="0.3">
      <c r="A82" s="98"/>
      <c r="B82" s="99"/>
      <c r="C82" s="99"/>
      <c r="D82" s="99"/>
      <c r="E82" s="99"/>
      <c r="F82" s="99"/>
      <c r="G82" s="99"/>
      <c r="H82" s="100"/>
      <c r="I82" s="98"/>
      <c r="J82" s="99"/>
      <c r="K82" s="99"/>
      <c r="L82" s="99"/>
      <c r="M82" s="99"/>
      <c r="N82" s="99"/>
      <c r="O82" s="99"/>
      <c r="P82" s="100"/>
      <c r="R82" s="36">
        <v>9</v>
      </c>
      <c r="S82" s="29"/>
      <c r="T82" s="29">
        <f t="shared" si="13"/>
        <v>1</v>
      </c>
    </row>
    <row r="83" spans="1:26" s="31" customFormat="1" ht="30.95" customHeight="1" x14ac:dyDescent="0.3">
      <c r="A83" s="101" t="str">
        <f t="shared" ref="A83" si="14">$A$13</f>
        <v>성    명</v>
      </c>
      <c r="B83" s="102"/>
      <c r="C83" s="103" t="str">
        <f>명세서_철거!$B$20</f>
        <v>박영준</v>
      </c>
      <c r="D83" s="104"/>
      <c r="E83" s="38" t="str">
        <f t="shared" ref="E83" si="15">$E$13</f>
        <v>연락처</v>
      </c>
      <c r="F83" s="105">
        <f>명세서_철거!$AJ$20</f>
        <v>0</v>
      </c>
      <c r="G83" s="105"/>
      <c r="H83" s="105"/>
      <c r="I83" s="106" t="str">
        <f t="shared" ref="I83" si="16">$I$13</f>
        <v>은행</v>
      </c>
      <c r="J83" s="107"/>
      <c r="K83" s="39">
        <f>명세서_철거!$AK$20</f>
        <v>0</v>
      </c>
      <c r="L83" s="40" t="str">
        <f t="shared" ref="L83" si="17">$L$13</f>
        <v>계좌번호</v>
      </c>
      <c r="M83" s="106">
        <f>명세서_철거!$AL$20</f>
        <v>0</v>
      </c>
      <c r="N83" s="108"/>
      <c r="O83" s="108"/>
      <c r="P83" s="107"/>
      <c r="R83" s="36">
        <v>10</v>
      </c>
      <c r="S83" s="36"/>
      <c r="T83" s="29">
        <f t="shared" ref="T83" si="18">T64</f>
        <v>1</v>
      </c>
      <c r="U83" s="31">
        <f>U73+2</f>
        <v>20</v>
      </c>
      <c r="V83" s="31" t="str">
        <f>V$3&amp;$U83</f>
        <v>B20</v>
      </c>
      <c r="X83" s="31" t="str">
        <f>X$3&amp;$U83</f>
        <v>AJ20</v>
      </c>
      <c r="Y83" s="31" t="str">
        <f>Y$3&amp;$U83</f>
        <v>AK20</v>
      </c>
      <c r="Z83" s="31" t="str">
        <f>Z$3&amp;$U83</f>
        <v>AL20</v>
      </c>
    </row>
    <row r="84" spans="1:26" s="26" customFormat="1" ht="30.95" customHeight="1" x14ac:dyDescent="0.3">
      <c r="A84" s="92" t="s">
        <v>38</v>
      </c>
      <c r="B84" s="93"/>
      <c r="C84" s="93"/>
      <c r="D84" s="93"/>
      <c r="E84" s="93"/>
      <c r="F84" s="93"/>
      <c r="G84" s="93"/>
      <c r="H84" s="94"/>
      <c r="I84" s="92" t="s">
        <v>39</v>
      </c>
      <c r="J84" s="93"/>
      <c r="K84" s="93"/>
      <c r="L84" s="93"/>
      <c r="M84" s="93"/>
      <c r="N84" s="93"/>
      <c r="O84" s="93"/>
      <c r="P84" s="94"/>
      <c r="R84" s="36">
        <v>1</v>
      </c>
      <c r="S84" s="29"/>
      <c r="T84" s="29">
        <f t="shared" ref="T84" si="19">T64</f>
        <v>1</v>
      </c>
      <c r="U84" s="31"/>
      <c r="W84" s="31"/>
    </row>
    <row r="85" spans="1:26" s="26" customFormat="1" ht="30.95" customHeight="1" x14ac:dyDescent="0.3">
      <c r="A85" s="95"/>
      <c r="B85" s="96"/>
      <c r="C85" s="96"/>
      <c r="D85" s="96"/>
      <c r="E85" s="96"/>
      <c r="F85" s="96"/>
      <c r="G85" s="96"/>
      <c r="H85" s="97"/>
      <c r="I85" s="95"/>
      <c r="J85" s="96"/>
      <c r="K85" s="96"/>
      <c r="L85" s="96"/>
      <c r="M85" s="96"/>
      <c r="N85" s="96"/>
      <c r="O85" s="96"/>
      <c r="P85" s="97"/>
      <c r="R85" s="36">
        <v>2</v>
      </c>
      <c r="S85" s="29"/>
      <c r="T85" s="29">
        <f t="shared" ref="T85:T148" si="20">T84</f>
        <v>1</v>
      </c>
    </row>
    <row r="86" spans="1:26" s="26" customFormat="1" ht="30.95" customHeight="1" x14ac:dyDescent="0.3">
      <c r="A86" s="95"/>
      <c r="B86" s="96"/>
      <c r="C86" s="96"/>
      <c r="D86" s="96"/>
      <c r="E86" s="96"/>
      <c r="F86" s="96"/>
      <c r="G86" s="96"/>
      <c r="H86" s="97"/>
      <c r="I86" s="95"/>
      <c r="J86" s="96"/>
      <c r="K86" s="96"/>
      <c r="L86" s="96"/>
      <c r="M86" s="96"/>
      <c r="N86" s="96"/>
      <c r="O86" s="96"/>
      <c r="P86" s="97"/>
      <c r="R86" s="36">
        <v>3</v>
      </c>
      <c r="S86" s="29"/>
      <c r="T86" s="29">
        <f t="shared" si="20"/>
        <v>1</v>
      </c>
    </row>
    <row r="87" spans="1:26" s="26" customFormat="1" ht="30.95" customHeight="1" x14ac:dyDescent="0.3">
      <c r="A87" s="95"/>
      <c r="B87" s="96"/>
      <c r="C87" s="96"/>
      <c r="D87" s="96"/>
      <c r="E87" s="96"/>
      <c r="F87" s="96"/>
      <c r="G87" s="96"/>
      <c r="H87" s="97"/>
      <c r="I87" s="95"/>
      <c r="J87" s="96"/>
      <c r="K87" s="96"/>
      <c r="L87" s="96"/>
      <c r="M87" s="96"/>
      <c r="N87" s="96"/>
      <c r="O87" s="96"/>
      <c r="P87" s="97"/>
      <c r="R87" s="36">
        <v>4</v>
      </c>
      <c r="S87" s="29"/>
      <c r="T87" s="29">
        <f t="shared" si="20"/>
        <v>1</v>
      </c>
    </row>
    <row r="88" spans="1:26" s="26" customFormat="1" ht="30.95" customHeight="1" x14ac:dyDescent="0.3">
      <c r="A88" s="95"/>
      <c r="B88" s="96"/>
      <c r="C88" s="96"/>
      <c r="D88" s="96"/>
      <c r="E88" s="96"/>
      <c r="F88" s="96"/>
      <c r="G88" s="96"/>
      <c r="H88" s="97"/>
      <c r="I88" s="95"/>
      <c r="J88" s="96"/>
      <c r="K88" s="96"/>
      <c r="L88" s="96"/>
      <c r="M88" s="96"/>
      <c r="N88" s="96"/>
      <c r="O88" s="96"/>
      <c r="P88" s="97"/>
      <c r="R88" s="36">
        <v>5</v>
      </c>
      <c r="S88" s="29"/>
      <c r="T88" s="29">
        <f t="shared" si="20"/>
        <v>1</v>
      </c>
    </row>
    <row r="89" spans="1:26" s="26" customFormat="1" ht="30.95" customHeight="1" x14ac:dyDescent="0.3">
      <c r="A89" s="95"/>
      <c r="B89" s="96"/>
      <c r="C89" s="96"/>
      <c r="D89" s="96"/>
      <c r="E89" s="96"/>
      <c r="F89" s="96"/>
      <c r="G89" s="96"/>
      <c r="H89" s="97"/>
      <c r="I89" s="95"/>
      <c r="J89" s="96"/>
      <c r="K89" s="96"/>
      <c r="L89" s="96"/>
      <c r="M89" s="96"/>
      <c r="N89" s="96"/>
      <c r="O89" s="96"/>
      <c r="P89" s="97"/>
      <c r="R89" s="36">
        <v>6</v>
      </c>
      <c r="S89" s="29"/>
      <c r="T89" s="29">
        <f t="shared" si="20"/>
        <v>1</v>
      </c>
    </row>
    <row r="90" spans="1:26" s="26" customFormat="1" ht="30.95" customHeight="1" x14ac:dyDescent="0.3">
      <c r="A90" s="95"/>
      <c r="B90" s="96"/>
      <c r="C90" s="96"/>
      <c r="D90" s="96"/>
      <c r="E90" s="96"/>
      <c r="F90" s="96"/>
      <c r="G90" s="96"/>
      <c r="H90" s="97"/>
      <c r="I90" s="95"/>
      <c r="J90" s="96"/>
      <c r="K90" s="96"/>
      <c r="L90" s="96"/>
      <c r="M90" s="96"/>
      <c r="N90" s="96"/>
      <c r="O90" s="96"/>
      <c r="P90" s="97"/>
      <c r="R90" s="36">
        <v>7</v>
      </c>
      <c r="S90" s="29"/>
      <c r="T90" s="29">
        <f t="shared" si="20"/>
        <v>1</v>
      </c>
    </row>
    <row r="91" spans="1:26" s="26" customFormat="1" ht="30.95" customHeight="1" x14ac:dyDescent="0.3">
      <c r="A91" s="95"/>
      <c r="B91" s="96"/>
      <c r="C91" s="96"/>
      <c r="D91" s="96"/>
      <c r="E91" s="96"/>
      <c r="F91" s="96"/>
      <c r="G91" s="96"/>
      <c r="H91" s="97"/>
      <c r="I91" s="95"/>
      <c r="J91" s="96"/>
      <c r="K91" s="96"/>
      <c r="L91" s="96"/>
      <c r="M91" s="96"/>
      <c r="N91" s="96"/>
      <c r="O91" s="96"/>
      <c r="P91" s="97"/>
      <c r="R91" s="36">
        <v>8</v>
      </c>
      <c r="S91" s="29"/>
      <c r="T91" s="29">
        <f t="shared" si="20"/>
        <v>1</v>
      </c>
    </row>
    <row r="92" spans="1:26" s="26" customFormat="1" ht="30.95" customHeight="1" x14ac:dyDescent="0.3">
      <c r="A92" s="98"/>
      <c r="B92" s="99"/>
      <c r="C92" s="99"/>
      <c r="D92" s="99"/>
      <c r="E92" s="99"/>
      <c r="F92" s="99"/>
      <c r="G92" s="99"/>
      <c r="H92" s="100"/>
      <c r="I92" s="98"/>
      <c r="J92" s="99"/>
      <c r="K92" s="99"/>
      <c r="L92" s="99"/>
      <c r="M92" s="99"/>
      <c r="N92" s="99"/>
      <c r="O92" s="99"/>
      <c r="P92" s="100"/>
      <c r="R92" s="36">
        <v>9</v>
      </c>
      <c r="S92" s="29"/>
      <c r="T92" s="29">
        <f t="shared" si="20"/>
        <v>1</v>
      </c>
    </row>
    <row r="93" spans="1:26" s="31" customFormat="1" ht="30.95" customHeight="1" x14ac:dyDescent="0.3">
      <c r="A93" s="101" t="str">
        <f t="shared" ref="A93" si="21">$A$13</f>
        <v>성    명</v>
      </c>
      <c r="B93" s="102"/>
      <c r="C93" s="103" t="str">
        <f>명세서_철거!$B$22</f>
        <v>박창준</v>
      </c>
      <c r="D93" s="104"/>
      <c r="E93" s="38" t="str">
        <f t="shared" ref="E93" si="22">$E$13</f>
        <v>연락처</v>
      </c>
      <c r="F93" s="105">
        <f>명세서_철거!$AJ$22</f>
        <v>0</v>
      </c>
      <c r="G93" s="105"/>
      <c r="H93" s="105"/>
      <c r="I93" s="106" t="str">
        <f t="shared" ref="I93" si="23">$I$13</f>
        <v>은행</v>
      </c>
      <c r="J93" s="107"/>
      <c r="K93" s="39">
        <f>명세서_철거!$AK$22</f>
        <v>0</v>
      </c>
      <c r="L93" s="40" t="str">
        <f t="shared" ref="L93" si="24">$L$13</f>
        <v>계좌번호</v>
      </c>
      <c r="M93" s="106">
        <f>명세서_철거!$AL$22</f>
        <v>0</v>
      </c>
      <c r="N93" s="108"/>
      <c r="O93" s="108"/>
      <c r="P93" s="107"/>
      <c r="R93" s="36">
        <v>10</v>
      </c>
      <c r="S93" s="36"/>
      <c r="T93" s="29">
        <f t="shared" si="20"/>
        <v>1</v>
      </c>
      <c r="U93" s="31">
        <f>U83+2</f>
        <v>22</v>
      </c>
      <c r="V93" s="31" t="str">
        <f>V$3&amp;$U93</f>
        <v>B22</v>
      </c>
      <c r="X93" s="31" t="str">
        <f>X$3&amp;$U93</f>
        <v>AJ22</v>
      </c>
      <c r="Y93" s="31" t="str">
        <f>Y$3&amp;$U93</f>
        <v>AK22</v>
      </c>
      <c r="Z93" s="31" t="str">
        <f>Z$3&amp;$U93</f>
        <v>AL22</v>
      </c>
    </row>
    <row r="94" spans="1:26" s="26" customFormat="1" ht="30.95" customHeight="1" x14ac:dyDescent="0.3">
      <c r="A94" s="92" t="s">
        <v>38</v>
      </c>
      <c r="B94" s="93"/>
      <c r="C94" s="93"/>
      <c r="D94" s="93"/>
      <c r="E94" s="93"/>
      <c r="F94" s="93"/>
      <c r="G94" s="93"/>
      <c r="H94" s="94"/>
      <c r="I94" s="92" t="s">
        <v>39</v>
      </c>
      <c r="J94" s="93"/>
      <c r="K94" s="93"/>
      <c r="L94" s="93"/>
      <c r="M94" s="93"/>
      <c r="N94" s="93"/>
      <c r="O94" s="93"/>
      <c r="P94" s="94"/>
      <c r="R94" s="36">
        <v>1</v>
      </c>
      <c r="S94" s="29">
        <f>S64+1</f>
        <v>4</v>
      </c>
      <c r="T94" s="37">
        <f>IF(명세서_철거!$AE$24=0,0,1)</f>
        <v>1</v>
      </c>
      <c r="U94" s="31">
        <f>U103</f>
        <v>24</v>
      </c>
      <c r="W94" s="31" t="str">
        <f>W$3&amp;$U94</f>
        <v>AE24</v>
      </c>
    </row>
    <row r="95" spans="1:26" s="26" customFormat="1" ht="30.95" customHeight="1" x14ac:dyDescent="0.3">
      <c r="A95" s="95"/>
      <c r="B95" s="96"/>
      <c r="C95" s="96"/>
      <c r="D95" s="96"/>
      <c r="E95" s="96"/>
      <c r="F95" s="96"/>
      <c r="G95" s="96"/>
      <c r="H95" s="97"/>
      <c r="I95" s="95"/>
      <c r="J95" s="96"/>
      <c r="K95" s="96"/>
      <c r="L95" s="96"/>
      <c r="M95" s="96"/>
      <c r="N95" s="96"/>
      <c r="O95" s="96"/>
      <c r="P95" s="97"/>
      <c r="R95" s="36">
        <v>2</v>
      </c>
      <c r="S95" s="29"/>
      <c r="T95" s="29">
        <f t="shared" ref="T95" si="25">T94</f>
        <v>1</v>
      </c>
    </row>
    <row r="96" spans="1:26" s="26" customFormat="1" ht="30.95" customHeight="1" x14ac:dyDescent="0.3">
      <c r="A96" s="95"/>
      <c r="B96" s="96"/>
      <c r="C96" s="96"/>
      <c r="D96" s="96"/>
      <c r="E96" s="96"/>
      <c r="F96" s="96"/>
      <c r="G96" s="96"/>
      <c r="H96" s="97"/>
      <c r="I96" s="95"/>
      <c r="J96" s="96"/>
      <c r="K96" s="96"/>
      <c r="L96" s="96"/>
      <c r="M96" s="96"/>
      <c r="N96" s="96"/>
      <c r="O96" s="96"/>
      <c r="P96" s="97"/>
      <c r="R96" s="36">
        <v>3</v>
      </c>
      <c r="S96" s="29"/>
      <c r="T96" s="29">
        <f t="shared" si="5"/>
        <v>1</v>
      </c>
    </row>
    <row r="97" spans="1:26" s="26" customFormat="1" ht="30.95" customHeight="1" x14ac:dyDescent="0.3">
      <c r="A97" s="95"/>
      <c r="B97" s="96"/>
      <c r="C97" s="96"/>
      <c r="D97" s="96"/>
      <c r="E97" s="96"/>
      <c r="F97" s="96"/>
      <c r="G97" s="96"/>
      <c r="H97" s="97"/>
      <c r="I97" s="95"/>
      <c r="J97" s="96"/>
      <c r="K97" s="96"/>
      <c r="L97" s="96"/>
      <c r="M97" s="96"/>
      <c r="N97" s="96"/>
      <c r="O97" s="96"/>
      <c r="P97" s="97"/>
      <c r="R97" s="36">
        <v>4</v>
      </c>
      <c r="S97" s="29"/>
      <c r="T97" s="29">
        <f t="shared" si="5"/>
        <v>1</v>
      </c>
    </row>
    <row r="98" spans="1:26" s="26" customFormat="1" ht="30.95" customHeight="1" x14ac:dyDescent="0.3">
      <c r="A98" s="95"/>
      <c r="B98" s="96"/>
      <c r="C98" s="96"/>
      <c r="D98" s="96"/>
      <c r="E98" s="96"/>
      <c r="F98" s="96"/>
      <c r="G98" s="96"/>
      <c r="H98" s="97"/>
      <c r="I98" s="95"/>
      <c r="J98" s="96"/>
      <c r="K98" s="96"/>
      <c r="L98" s="96"/>
      <c r="M98" s="96"/>
      <c r="N98" s="96"/>
      <c r="O98" s="96"/>
      <c r="P98" s="97"/>
      <c r="R98" s="36">
        <v>5</v>
      </c>
      <c r="S98" s="29"/>
      <c r="T98" s="29">
        <f t="shared" si="5"/>
        <v>1</v>
      </c>
    </row>
    <row r="99" spans="1:26" s="26" customFormat="1" ht="30.95" customHeight="1" x14ac:dyDescent="0.3">
      <c r="A99" s="95"/>
      <c r="B99" s="96"/>
      <c r="C99" s="96"/>
      <c r="D99" s="96"/>
      <c r="E99" s="96"/>
      <c r="F99" s="96"/>
      <c r="G99" s="96"/>
      <c r="H99" s="97"/>
      <c r="I99" s="95"/>
      <c r="J99" s="96"/>
      <c r="K99" s="96"/>
      <c r="L99" s="96"/>
      <c r="M99" s="96"/>
      <c r="N99" s="96"/>
      <c r="O99" s="96"/>
      <c r="P99" s="97"/>
      <c r="R99" s="36">
        <v>6</v>
      </c>
      <c r="S99" s="29"/>
      <c r="T99" s="29">
        <f t="shared" si="5"/>
        <v>1</v>
      </c>
    </row>
    <row r="100" spans="1:26" s="26" customFormat="1" ht="30.95" customHeight="1" x14ac:dyDescent="0.3">
      <c r="A100" s="95"/>
      <c r="B100" s="96"/>
      <c r="C100" s="96"/>
      <c r="D100" s="96"/>
      <c r="E100" s="96"/>
      <c r="F100" s="96"/>
      <c r="G100" s="96"/>
      <c r="H100" s="97"/>
      <c r="I100" s="95"/>
      <c r="J100" s="96"/>
      <c r="K100" s="96"/>
      <c r="L100" s="96"/>
      <c r="M100" s="96"/>
      <c r="N100" s="96"/>
      <c r="O100" s="96"/>
      <c r="P100" s="97"/>
      <c r="R100" s="36">
        <v>7</v>
      </c>
      <c r="S100" s="29"/>
      <c r="T100" s="29">
        <f t="shared" si="5"/>
        <v>1</v>
      </c>
    </row>
    <row r="101" spans="1:26" s="26" customFormat="1" ht="30.95" customHeight="1" x14ac:dyDescent="0.3">
      <c r="A101" s="95"/>
      <c r="B101" s="96"/>
      <c r="C101" s="96"/>
      <c r="D101" s="96"/>
      <c r="E101" s="96"/>
      <c r="F101" s="96"/>
      <c r="G101" s="96"/>
      <c r="H101" s="97"/>
      <c r="I101" s="95"/>
      <c r="J101" s="96"/>
      <c r="K101" s="96"/>
      <c r="L101" s="96"/>
      <c r="M101" s="96"/>
      <c r="N101" s="96"/>
      <c r="O101" s="96"/>
      <c r="P101" s="97"/>
      <c r="R101" s="36">
        <v>8</v>
      </c>
      <c r="S101" s="29"/>
      <c r="T101" s="29">
        <f t="shared" si="5"/>
        <v>1</v>
      </c>
    </row>
    <row r="102" spans="1:26" s="26" customFormat="1" ht="30.95" customHeight="1" x14ac:dyDescent="0.3">
      <c r="A102" s="98"/>
      <c r="B102" s="99"/>
      <c r="C102" s="99"/>
      <c r="D102" s="99"/>
      <c r="E102" s="99"/>
      <c r="F102" s="99"/>
      <c r="G102" s="99"/>
      <c r="H102" s="100"/>
      <c r="I102" s="98"/>
      <c r="J102" s="99"/>
      <c r="K102" s="99"/>
      <c r="L102" s="99"/>
      <c r="M102" s="99"/>
      <c r="N102" s="99"/>
      <c r="O102" s="99"/>
      <c r="P102" s="100"/>
      <c r="R102" s="36">
        <v>9</v>
      </c>
      <c r="S102" s="29"/>
      <c r="T102" s="29">
        <f t="shared" si="5"/>
        <v>1</v>
      </c>
    </row>
    <row r="103" spans="1:26" s="31" customFormat="1" ht="30.95" customHeight="1" x14ac:dyDescent="0.3">
      <c r="A103" s="101" t="str">
        <f t="shared" ref="A103" si="26">$A$13</f>
        <v>성    명</v>
      </c>
      <c r="B103" s="102"/>
      <c r="C103" s="103" t="str">
        <f>명세서_철거!$B$24</f>
        <v>박창현</v>
      </c>
      <c r="D103" s="104"/>
      <c r="E103" s="38" t="str">
        <f t="shared" ref="E103" si="27">$E$13</f>
        <v>연락처</v>
      </c>
      <c r="F103" s="105">
        <f>명세서_철거!$AJ$24</f>
        <v>0</v>
      </c>
      <c r="G103" s="105"/>
      <c r="H103" s="105"/>
      <c r="I103" s="106" t="str">
        <f t="shared" ref="I103" si="28">$I$13</f>
        <v>은행</v>
      </c>
      <c r="J103" s="107"/>
      <c r="K103" s="39">
        <f>명세서_철거!$AK$24</f>
        <v>0</v>
      </c>
      <c r="L103" s="40" t="str">
        <f t="shared" ref="L103" si="29">$L$13</f>
        <v>계좌번호</v>
      </c>
      <c r="M103" s="106">
        <f>명세서_철거!$AL$24</f>
        <v>0</v>
      </c>
      <c r="N103" s="108"/>
      <c r="O103" s="108"/>
      <c r="P103" s="107"/>
      <c r="R103" s="36">
        <v>10</v>
      </c>
      <c r="S103" s="36"/>
      <c r="T103" s="29">
        <f t="shared" ref="T103" si="30">T94</f>
        <v>1</v>
      </c>
      <c r="U103" s="31">
        <f>U93+2</f>
        <v>24</v>
      </c>
      <c r="V103" s="31" t="str">
        <f>V$3&amp;$U103</f>
        <v>B24</v>
      </c>
      <c r="X103" s="31" t="str">
        <f>X$3&amp;$U103</f>
        <v>AJ24</v>
      </c>
      <c r="Y103" s="31" t="str">
        <f>Y$3&amp;$U103</f>
        <v>AK24</v>
      </c>
      <c r="Z103" s="31" t="str">
        <f>Z$3&amp;$U103</f>
        <v>AL24</v>
      </c>
    </row>
    <row r="104" spans="1:26" s="26" customFormat="1" ht="30.95" customHeight="1" x14ac:dyDescent="0.3">
      <c r="A104" s="92" t="s">
        <v>38</v>
      </c>
      <c r="B104" s="93"/>
      <c r="C104" s="93"/>
      <c r="D104" s="93"/>
      <c r="E104" s="93"/>
      <c r="F104" s="93"/>
      <c r="G104" s="93"/>
      <c r="H104" s="94"/>
      <c r="I104" s="92" t="s">
        <v>39</v>
      </c>
      <c r="J104" s="93"/>
      <c r="K104" s="93"/>
      <c r="L104" s="93"/>
      <c r="M104" s="93"/>
      <c r="N104" s="93"/>
      <c r="O104" s="93"/>
      <c r="P104" s="94"/>
      <c r="R104" s="36">
        <v>1</v>
      </c>
      <c r="S104" s="29"/>
      <c r="T104" s="29">
        <f t="shared" ref="T104" si="31">T94</f>
        <v>1</v>
      </c>
      <c r="U104" s="31"/>
      <c r="W104" s="31"/>
    </row>
    <row r="105" spans="1:26" s="26" customFormat="1" ht="30.95" customHeight="1" x14ac:dyDescent="0.3">
      <c r="A105" s="95"/>
      <c r="B105" s="96"/>
      <c r="C105" s="96"/>
      <c r="D105" s="96"/>
      <c r="E105" s="96"/>
      <c r="F105" s="96"/>
      <c r="G105" s="96"/>
      <c r="H105" s="97"/>
      <c r="I105" s="95"/>
      <c r="J105" s="96"/>
      <c r="K105" s="96"/>
      <c r="L105" s="96"/>
      <c r="M105" s="96"/>
      <c r="N105" s="96"/>
      <c r="O105" s="96"/>
      <c r="P105" s="97"/>
      <c r="R105" s="36">
        <v>2</v>
      </c>
      <c r="S105" s="29"/>
      <c r="T105" s="29">
        <f t="shared" ref="T105" si="32">T104</f>
        <v>1</v>
      </c>
    </row>
    <row r="106" spans="1:26" s="26" customFormat="1" ht="30.95" customHeight="1" x14ac:dyDescent="0.3">
      <c r="A106" s="95"/>
      <c r="B106" s="96"/>
      <c r="C106" s="96"/>
      <c r="D106" s="96"/>
      <c r="E106" s="96"/>
      <c r="F106" s="96"/>
      <c r="G106" s="96"/>
      <c r="H106" s="97"/>
      <c r="I106" s="95"/>
      <c r="J106" s="96"/>
      <c r="K106" s="96"/>
      <c r="L106" s="96"/>
      <c r="M106" s="96"/>
      <c r="N106" s="96"/>
      <c r="O106" s="96"/>
      <c r="P106" s="97"/>
      <c r="R106" s="36">
        <v>3</v>
      </c>
      <c r="S106" s="29"/>
      <c r="T106" s="29">
        <f t="shared" si="13"/>
        <v>1</v>
      </c>
    </row>
    <row r="107" spans="1:26" s="26" customFormat="1" ht="30.95" customHeight="1" x14ac:dyDescent="0.3">
      <c r="A107" s="95"/>
      <c r="B107" s="96"/>
      <c r="C107" s="96"/>
      <c r="D107" s="96"/>
      <c r="E107" s="96"/>
      <c r="F107" s="96"/>
      <c r="G107" s="96"/>
      <c r="H107" s="97"/>
      <c r="I107" s="95"/>
      <c r="J107" s="96"/>
      <c r="K107" s="96"/>
      <c r="L107" s="96"/>
      <c r="M107" s="96"/>
      <c r="N107" s="96"/>
      <c r="O107" s="96"/>
      <c r="P107" s="97"/>
      <c r="R107" s="36">
        <v>4</v>
      </c>
      <c r="S107" s="29"/>
      <c r="T107" s="29">
        <f t="shared" si="13"/>
        <v>1</v>
      </c>
    </row>
    <row r="108" spans="1:26" s="26" customFormat="1" ht="30.95" customHeight="1" x14ac:dyDescent="0.3">
      <c r="A108" s="95"/>
      <c r="B108" s="96"/>
      <c r="C108" s="96"/>
      <c r="D108" s="96"/>
      <c r="E108" s="96"/>
      <c r="F108" s="96"/>
      <c r="G108" s="96"/>
      <c r="H108" s="97"/>
      <c r="I108" s="95"/>
      <c r="J108" s="96"/>
      <c r="K108" s="96"/>
      <c r="L108" s="96"/>
      <c r="M108" s="96"/>
      <c r="N108" s="96"/>
      <c r="O108" s="96"/>
      <c r="P108" s="97"/>
      <c r="R108" s="36">
        <v>5</v>
      </c>
      <c r="S108" s="29"/>
      <c r="T108" s="29">
        <f t="shared" si="13"/>
        <v>1</v>
      </c>
    </row>
    <row r="109" spans="1:26" s="26" customFormat="1" ht="30.95" customHeight="1" x14ac:dyDescent="0.3">
      <c r="A109" s="95"/>
      <c r="B109" s="96"/>
      <c r="C109" s="96"/>
      <c r="D109" s="96"/>
      <c r="E109" s="96"/>
      <c r="F109" s="96"/>
      <c r="G109" s="96"/>
      <c r="H109" s="97"/>
      <c r="I109" s="95"/>
      <c r="J109" s="96"/>
      <c r="K109" s="96"/>
      <c r="L109" s="96"/>
      <c r="M109" s="96"/>
      <c r="N109" s="96"/>
      <c r="O109" s="96"/>
      <c r="P109" s="97"/>
      <c r="R109" s="36">
        <v>6</v>
      </c>
      <c r="S109" s="29"/>
      <c r="T109" s="29">
        <f t="shared" si="13"/>
        <v>1</v>
      </c>
    </row>
    <row r="110" spans="1:26" s="26" customFormat="1" ht="30.95" customHeight="1" x14ac:dyDescent="0.3">
      <c r="A110" s="95"/>
      <c r="B110" s="96"/>
      <c r="C110" s="96"/>
      <c r="D110" s="96"/>
      <c r="E110" s="96"/>
      <c r="F110" s="96"/>
      <c r="G110" s="96"/>
      <c r="H110" s="97"/>
      <c r="I110" s="95"/>
      <c r="J110" s="96"/>
      <c r="K110" s="96"/>
      <c r="L110" s="96"/>
      <c r="M110" s="96"/>
      <c r="N110" s="96"/>
      <c r="O110" s="96"/>
      <c r="P110" s="97"/>
      <c r="R110" s="36">
        <v>7</v>
      </c>
      <c r="S110" s="29"/>
      <c r="T110" s="29">
        <f t="shared" si="13"/>
        <v>1</v>
      </c>
    </row>
    <row r="111" spans="1:26" s="26" customFormat="1" ht="30.95" customHeight="1" x14ac:dyDescent="0.3">
      <c r="A111" s="95"/>
      <c r="B111" s="96"/>
      <c r="C111" s="96"/>
      <c r="D111" s="96"/>
      <c r="E111" s="96"/>
      <c r="F111" s="96"/>
      <c r="G111" s="96"/>
      <c r="H111" s="97"/>
      <c r="I111" s="95"/>
      <c r="J111" s="96"/>
      <c r="K111" s="96"/>
      <c r="L111" s="96"/>
      <c r="M111" s="96"/>
      <c r="N111" s="96"/>
      <c r="O111" s="96"/>
      <c r="P111" s="97"/>
      <c r="R111" s="36">
        <v>8</v>
      </c>
      <c r="S111" s="29"/>
      <c r="T111" s="29">
        <f t="shared" si="13"/>
        <v>1</v>
      </c>
    </row>
    <row r="112" spans="1:26" s="26" customFormat="1" ht="30.95" customHeight="1" x14ac:dyDescent="0.3">
      <c r="A112" s="98"/>
      <c r="B112" s="99"/>
      <c r="C112" s="99"/>
      <c r="D112" s="99"/>
      <c r="E112" s="99"/>
      <c r="F112" s="99"/>
      <c r="G112" s="99"/>
      <c r="H112" s="100"/>
      <c r="I112" s="98"/>
      <c r="J112" s="99"/>
      <c r="K112" s="99"/>
      <c r="L112" s="99"/>
      <c r="M112" s="99"/>
      <c r="N112" s="99"/>
      <c r="O112" s="99"/>
      <c r="P112" s="100"/>
      <c r="R112" s="36">
        <v>9</v>
      </c>
      <c r="S112" s="29"/>
      <c r="T112" s="29">
        <f t="shared" si="13"/>
        <v>1</v>
      </c>
    </row>
    <row r="113" spans="1:26" s="31" customFormat="1" ht="30.95" customHeight="1" x14ac:dyDescent="0.3">
      <c r="A113" s="101" t="str">
        <f t="shared" ref="A113" si="33">$A$13</f>
        <v>성    명</v>
      </c>
      <c r="B113" s="102"/>
      <c r="C113" s="103" t="str">
        <f>명세서_철거!$B$26</f>
        <v>서종태</v>
      </c>
      <c r="D113" s="104"/>
      <c r="E113" s="38" t="str">
        <f t="shared" ref="E113" si="34">$E$13</f>
        <v>연락처</v>
      </c>
      <c r="F113" s="105">
        <f>명세서_철거!$AJ$26</f>
        <v>0</v>
      </c>
      <c r="G113" s="105"/>
      <c r="H113" s="105"/>
      <c r="I113" s="106" t="str">
        <f t="shared" ref="I113" si="35">$I$13</f>
        <v>은행</v>
      </c>
      <c r="J113" s="107"/>
      <c r="K113" s="39">
        <f>명세서_철거!$AK$26</f>
        <v>0</v>
      </c>
      <c r="L113" s="40" t="str">
        <f t="shared" ref="L113" si="36">$L$13</f>
        <v>계좌번호</v>
      </c>
      <c r="M113" s="106">
        <f>명세서_철거!$AL$26</f>
        <v>0</v>
      </c>
      <c r="N113" s="108"/>
      <c r="O113" s="108"/>
      <c r="P113" s="107"/>
      <c r="R113" s="36">
        <v>10</v>
      </c>
      <c r="S113" s="36"/>
      <c r="T113" s="29">
        <f t="shared" ref="T113" si="37">T94</f>
        <v>1</v>
      </c>
      <c r="U113" s="31">
        <f>U103+2</f>
        <v>26</v>
      </c>
      <c r="V113" s="31" t="str">
        <f>V$3&amp;$U113</f>
        <v>B26</v>
      </c>
      <c r="X113" s="31" t="str">
        <f>X$3&amp;$U113</f>
        <v>AJ26</v>
      </c>
      <c r="Y113" s="31" t="str">
        <f>Y$3&amp;$U113</f>
        <v>AK26</v>
      </c>
      <c r="Z113" s="31" t="str">
        <f>Z$3&amp;$U113</f>
        <v>AL26</v>
      </c>
    </row>
    <row r="114" spans="1:26" s="26" customFormat="1" ht="30.95" customHeight="1" x14ac:dyDescent="0.3">
      <c r="A114" s="92" t="s">
        <v>38</v>
      </c>
      <c r="B114" s="93"/>
      <c r="C114" s="93"/>
      <c r="D114" s="93"/>
      <c r="E114" s="93"/>
      <c r="F114" s="93"/>
      <c r="G114" s="93"/>
      <c r="H114" s="94"/>
      <c r="I114" s="92" t="s">
        <v>39</v>
      </c>
      <c r="J114" s="93"/>
      <c r="K114" s="93"/>
      <c r="L114" s="93"/>
      <c r="M114" s="93"/>
      <c r="N114" s="93"/>
      <c r="O114" s="93"/>
      <c r="P114" s="94"/>
      <c r="R114" s="36">
        <v>1</v>
      </c>
      <c r="S114" s="29"/>
      <c r="T114" s="29">
        <f t="shared" ref="T114" si="38">T94</f>
        <v>1</v>
      </c>
      <c r="U114" s="31"/>
      <c r="W114" s="31"/>
    </row>
    <row r="115" spans="1:26" s="26" customFormat="1" ht="30.95" customHeight="1" x14ac:dyDescent="0.3">
      <c r="A115" s="95"/>
      <c r="B115" s="96"/>
      <c r="C115" s="96"/>
      <c r="D115" s="96"/>
      <c r="E115" s="96"/>
      <c r="F115" s="96"/>
      <c r="G115" s="96"/>
      <c r="H115" s="97"/>
      <c r="I115" s="95"/>
      <c r="J115" s="96"/>
      <c r="K115" s="96"/>
      <c r="L115" s="96"/>
      <c r="M115" s="96"/>
      <c r="N115" s="96"/>
      <c r="O115" s="96"/>
      <c r="P115" s="97"/>
      <c r="R115" s="36">
        <v>2</v>
      </c>
      <c r="S115" s="29"/>
      <c r="T115" s="29">
        <f t="shared" ref="T115" si="39">T114</f>
        <v>1</v>
      </c>
    </row>
    <row r="116" spans="1:26" s="26" customFormat="1" ht="30.95" customHeight="1" x14ac:dyDescent="0.3">
      <c r="A116" s="95"/>
      <c r="B116" s="96"/>
      <c r="C116" s="96"/>
      <c r="D116" s="96"/>
      <c r="E116" s="96"/>
      <c r="F116" s="96"/>
      <c r="G116" s="96"/>
      <c r="H116" s="97"/>
      <c r="I116" s="95"/>
      <c r="J116" s="96"/>
      <c r="K116" s="96"/>
      <c r="L116" s="96"/>
      <c r="M116" s="96"/>
      <c r="N116" s="96"/>
      <c r="O116" s="96"/>
      <c r="P116" s="97"/>
      <c r="R116" s="36">
        <v>3</v>
      </c>
      <c r="S116" s="29"/>
      <c r="T116" s="29">
        <f t="shared" si="20"/>
        <v>1</v>
      </c>
    </row>
    <row r="117" spans="1:26" s="26" customFormat="1" ht="30.95" customHeight="1" x14ac:dyDescent="0.3">
      <c r="A117" s="95"/>
      <c r="B117" s="96"/>
      <c r="C117" s="96"/>
      <c r="D117" s="96"/>
      <c r="E117" s="96"/>
      <c r="F117" s="96"/>
      <c r="G117" s="96"/>
      <c r="H117" s="97"/>
      <c r="I117" s="95"/>
      <c r="J117" s="96"/>
      <c r="K117" s="96"/>
      <c r="L117" s="96"/>
      <c r="M117" s="96"/>
      <c r="N117" s="96"/>
      <c r="O117" s="96"/>
      <c r="P117" s="97"/>
      <c r="R117" s="36">
        <v>4</v>
      </c>
      <c r="S117" s="29"/>
      <c r="T117" s="29">
        <f t="shared" si="20"/>
        <v>1</v>
      </c>
    </row>
    <row r="118" spans="1:26" s="26" customFormat="1" ht="30.95" customHeight="1" x14ac:dyDescent="0.3">
      <c r="A118" s="95"/>
      <c r="B118" s="96"/>
      <c r="C118" s="96"/>
      <c r="D118" s="96"/>
      <c r="E118" s="96"/>
      <c r="F118" s="96"/>
      <c r="G118" s="96"/>
      <c r="H118" s="97"/>
      <c r="I118" s="95"/>
      <c r="J118" s="96"/>
      <c r="K118" s="96"/>
      <c r="L118" s="96"/>
      <c r="M118" s="96"/>
      <c r="N118" s="96"/>
      <c r="O118" s="96"/>
      <c r="P118" s="97"/>
      <c r="R118" s="36">
        <v>5</v>
      </c>
      <c r="S118" s="29"/>
      <c r="T118" s="29">
        <f t="shared" si="20"/>
        <v>1</v>
      </c>
    </row>
    <row r="119" spans="1:26" s="26" customFormat="1" ht="30.95" customHeight="1" x14ac:dyDescent="0.3">
      <c r="A119" s="95"/>
      <c r="B119" s="96"/>
      <c r="C119" s="96"/>
      <c r="D119" s="96"/>
      <c r="E119" s="96"/>
      <c r="F119" s="96"/>
      <c r="G119" s="96"/>
      <c r="H119" s="97"/>
      <c r="I119" s="95"/>
      <c r="J119" s="96"/>
      <c r="K119" s="96"/>
      <c r="L119" s="96"/>
      <c r="M119" s="96"/>
      <c r="N119" s="96"/>
      <c r="O119" s="96"/>
      <c r="P119" s="97"/>
      <c r="R119" s="36">
        <v>6</v>
      </c>
      <c r="S119" s="29"/>
      <c r="T119" s="29">
        <f t="shared" si="20"/>
        <v>1</v>
      </c>
    </row>
    <row r="120" spans="1:26" s="26" customFormat="1" ht="30.95" customHeight="1" x14ac:dyDescent="0.3">
      <c r="A120" s="95"/>
      <c r="B120" s="96"/>
      <c r="C120" s="96"/>
      <c r="D120" s="96"/>
      <c r="E120" s="96"/>
      <c r="F120" s="96"/>
      <c r="G120" s="96"/>
      <c r="H120" s="97"/>
      <c r="I120" s="95"/>
      <c r="J120" s="96"/>
      <c r="K120" s="96"/>
      <c r="L120" s="96"/>
      <c r="M120" s="96"/>
      <c r="N120" s="96"/>
      <c r="O120" s="96"/>
      <c r="P120" s="97"/>
      <c r="R120" s="36">
        <v>7</v>
      </c>
      <c r="S120" s="29"/>
      <c r="T120" s="29">
        <f t="shared" si="20"/>
        <v>1</v>
      </c>
    </row>
    <row r="121" spans="1:26" s="26" customFormat="1" ht="30.95" customHeight="1" x14ac:dyDescent="0.3">
      <c r="A121" s="95"/>
      <c r="B121" s="96"/>
      <c r="C121" s="96"/>
      <c r="D121" s="96"/>
      <c r="E121" s="96"/>
      <c r="F121" s="96"/>
      <c r="G121" s="96"/>
      <c r="H121" s="97"/>
      <c r="I121" s="95"/>
      <c r="J121" s="96"/>
      <c r="K121" s="96"/>
      <c r="L121" s="96"/>
      <c r="M121" s="96"/>
      <c r="N121" s="96"/>
      <c r="O121" s="96"/>
      <c r="P121" s="97"/>
      <c r="R121" s="36">
        <v>8</v>
      </c>
      <c r="S121" s="29"/>
      <c r="T121" s="29">
        <f t="shared" si="20"/>
        <v>1</v>
      </c>
    </row>
    <row r="122" spans="1:26" s="26" customFormat="1" ht="30.95" customHeight="1" x14ac:dyDescent="0.3">
      <c r="A122" s="98"/>
      <c r="B122" s="99"/>
      <c r="C122" s="99"/>
      <c r="D122" s="99"/>
      <c r="E122" s="99"/>
      <c r="F122" s="99"/>
      <c r="G122" s="99"/>
      <c r="H122" s="100"/>
      <c r="I122" s="98"/>
      <c r="J122" s="99"/>
      <c r="K122" s="99"/>
      <c r="L122" s="99"/>
      <c r="M122" s="99"/>
      <c r="N122" s="99"/>
      <c r="O122" s="99"/>
      <c r="P122" s="100"/>
      <c r="R122" s="36">
        <v>9</v>
      </c>
      <c r="S122" s="29"/>
      <c r="T122" s="29">
        <f t="shared" si="20"/>
        <v>1</v>
      </c>
    </row>
    <row r="123" spans="1:26" s="31" customFormat="1" ht="30.95" customHeight="1" x14ac:dyDescent="0.3">
      <c r="A123" s="101" t="str">
        <f t="shared" ref="A123" si="40">$A$13</f>
        <v>성    명</v>
      </c>
      <c r="B123" s="102"/>
      <c r="C123" s="103" t="str">
        <f>명세서_철거!$B$28</f>
        <v>이경란</v>
      </c>
      <c r="D123" s="104"/>
      <c r="E123" s="38" t="str">
        <f t="shared" ref="E123" si="41">$E$13</f>
        <v>연락처</v>
      </c>
      <c r="F123" s="105" t="s">
        <v>65</v>
      </c>
      <c r="G123" s="105"/>
      <c r="H123" s="105"/>
      <c r="I123" s="106" t="str">
        <f t="shared" ref="I123" si="42">$I$13</f>
        <v>은행</v>
      </c>
      <c r="J123" s="107"/>
      <c r="K123" s="39">
        <f>명세서_철거!$AK$28</f>
        <v>0</v>
      </c>
      <c r="L123" s="40" t="str">
        <f t="shared" ref="L123" si="43">$L$13</f>
        <v>계좌번호</v>
      </c>
      <c r="M123" s="106">
        <f>명세서_철거!$AL$28</f>
        <v>0</v>
      </c>
      <c r="N123" s="108"/>
      <c r="O123" s="108"/>
      <c r="P123" s="107"/>
      <c r="R123" s="36">
        <v>10</v>
      </c>
      <c r="S123" s="36"/>
      <c r="T123" s="29">
        <f t="shared" si="20"/>
        <v>1</v>
      </c>
      <c r="U123" s="31">
        <f>U113+2</f>
        <v>28</v>
      </c>
      <c r="V123" s="31" t="str">
        <f>V$3&amp;$U123</f>
        <v>B28</v>
      </c>
      <c r="X123" s="31" t="str">
        <f>X$3&amp;$U123</f>
        <v>AJ28</v>
      </c>
      <c r="Y123" s="31" t="str">
        <f>Y$3&amp;$U123</f>
        <v>AK28</v>
      </c>
      <c r="Z123" s="31" t="str">
        <f>Z$3&amp;$U123</f>
        <v>AL28</v>
      </c>
    </row>
    <row r="124" spans="1:26" s="26" customFormat="1" ht="30.95" customHeight="1" x14ac:dyDescent="0.3">
      <c r="A124" s="92" t="s">
        <v>38</v>
      </c>
      <c r="B124" s="93"/>
      <c r="C124" s="93"/>
      <c r="D124" s="93"/>
      <c r="E124" s="93"/>
      <c r="F124" s="93"/>
      <c r="G124" s="93"/>
      <c r="H124" s="94"/>
      <c r="I124" s="92" t="s">
        <v>39</v>
      </c>
      <c r="J124" s="93"/>
      <c r="K124" s="93"/>
      <c r="L124" s="93"/>
      <c r="M124" s="93"/>
      <c r="N124" s="93"/>
      <c r="O124" s="93"/>
      <c r="P124" s="94"/>
      <c r="R124" s="36">
        <v>1</v>
      </c>
      <c r="S124" s="29">
        <f>S94+1</f>
        <v>5</v>
      </c>
      <c r="T124" s="37">
        <f>IF(명세서_철거!$AE$30=0,0,1)</f>
        <v>1</v>
      </c>
      <c r="U124" s="31">
        <f>U133</f>
        <v>30</v>
      </c>
      <c r="W124" s="31" t="str">
        <f>W$3&amp;$U124</f>
        <v>AE30</v>
      </c>
    </row>
    <row r="125" spans="1:26" s="26" customFormat="1" ht="30.95" customHeight="1" x14ac:dyDescent="0.3">
      <c r="A125" s="95"/>
      <c r="B125" s="96"/>
      <c r="C125" s="96"/>
      <c r="D125" s="96"/>
      <c r="E125" s="96"/>
      <c r="F125" s="96"/>
      <c r="G125" s="96"/>
      <c r="H125" s="97"/>
      <c r="I125" s="95"/>
      <c r="J125" s="96"/>
      <c r="K125" s="96"/>
      <c r="L125" s="96"/>
      <c r="M125" s="96"/>
      <c r="N125" s="96"/>
      <c r="O125" s="96"/>
      <c r="P125" s="97"/>
      <c r="R125" s="36">
        <v>2</v>
      </c>
      <c r="S125" s="29"/>
      <c r="T125" s="29">
        <f t="shared" ref="T125" si="44">T124</f>
        <v>1</v>
      </c>
    </row>
    <row r="126" spans="1:26" s="26" customFormat="1" ht="30.95" customHeight="1" x14ac:dyDescent="0.3">
      <c r="A126" s="95"/>
      <c r="B126" s="96"/>
      <c r="C126" s="96"/>
      <c r="D126" s="96"/>
      <c r="E126" s="96"/>
      <c r="F126" s="96"/>
      <c r="G126" s="96"/>
      <c r="H126" s="97"/>
      <c r="I126" s="95"/>
      <c r="J126" s="96"/>
      <c r="K126" s="96"/>
      <c r="L126" s="96"/>
      <c r="M126" s="96"/>
      <c r="N126" s="96"/>
      <c r="O126" s="96"/>
      <c r="P126" s="97"/>
      <c r="R126" s="36">
        <v>3</v>
      </c>
      <c r="S126" s="29"/>
      <c r="T126" s="29">
        <f t="shared" si="5"/>
        <v>1</v>
      </c>
    </row>
    <row r="127" spans="1:26" s="26" customFormat="1" ht="30.95" customHeight="1" x14ac:dyDescent="0.3">
      <c r="A127" s="95"/>
      <c r="B127" s="96"/>
      <c r="C127" s="96"/>
      <c r="D127" s="96"/>
      <c r="E127" s="96"/>
      <c r="F127" s="96"/>
      <c r="G127" s="96"/>
      <c r="H127" s="97"/>
      <c r="I127" s="95"/>
      <c r="J127" s="96"/>
      <c r="K127" s="96"/>
      <c r="L127" s="96"/>
      <c r="M127" s="96"/>
      <c r="N127" s="96"/>
      <c r="O127" s="96"/>
      <c r="P127" s="97"/>
      <c r="R127" s="36">
        <v>4</v>
      </c>
      <c r="S127" s="29"/>
      <c r="T127" s="29">
        <f t="shared" si="5"/>
        <v>1</v>
      </c>
    </row>
    <row r="128" spans="1:26" s="26" customFormat="1" ht="30.95" customHeight="1" x14ac:dyDescent="0.3">
      <c r="A128" s="95"/>
      <c r="B128" s="96"/>
      <c r="C128" s="96"/>
      <c r="D128" s="96"/>
      <c r="E128" s="96"/>
      <c r="F128" s="96"/>
      <c r="G128" s="96"/>
      <c r="H128" s="97"/>
      <c r="I128" s="95"/>
      <c r="J128" s="96"/>
      <c r="K128" s="96"/>
      <c r="L128" s="96"/>
      <c r="M128" s="96"/>
      <c r="N128" s="96"/>
      <c r="O128" s="96"/>
      <c r="P128" s="97"/>
      <c r="R128" s="36">
        <v>5</v>
      </c>
      <c r="S128" s="29"/>
      <c r="T128" s="29">
        <f t="shared" si="5"/>
        <v>1</v>
      </c>
    </row>
    <row r="129" spans="1:26" s="26" customFormat="1" ht="30.95" customHeight="1" x14ac:dyDescent="0.3">
      <c r="A129" s="95"/>
      <c r="B129" s="96"/>
      <c r="C129" s="96"/>
      <c r="D129" s="96"/>
      <c r="E129" s="96"/>
      <c r="F129" s="96"/>
      <c r="G129" s="96"/>
      <c r="H129" s="97"/>
      <c r="I129" s="95"/>
      <c r="J129" s="96"/>
      <c r="K129" s="96"/>
      <c r="L129" s="96"/>
      <c r="M129" s="96"/>
      <c r="N129" s="96"/>
      <c r="O129" s="96"/>
      <c r="P129" s="97"/>
      <c r="R129" s="36">
        <v>6</v>
      </c>
      <c r="S129" s="29"/>
      <c r="T129" s="29">
        <f t="shared" ref="T129:T192" si="45">T128</f>
        <v>1</v>
      </c>
    </row>
    <row r="130" spans="1:26" s="26" customFormat="1" ht="30.95" customHeight="1" x14ac:dyDescent="0.3">
      <c r="A130" s="95"/>
      <c r="B130" s="96"/>
      <c r="C130" s="96"/>
      <c r="D130" s="96"/>
      <c r="E130" s="96"/>
      <c r="F130" s="96"/>
      <c r="G130" s="96"/>
      <c r="H130" s="97"/>
      <c r="I130" s="95"/>
      <c r="J130" s="96"/>
      <c r="K130" s="96"/>
      <c r="L130" s="96"/>
      <c r="M130" s="96"/>
      <c r="N130" s="96"/>
      <c r="O130" s="96"/>
      <c r="P130" s="97"/>
      <c r="R130" s="36">
        <v>7</v>
      </c>
      <c r="S130" s="29"/>
      <c r="T130" s="29">
        <f t="shared" si="45"/>
        <v>1</v>
      </c>
    </row>
    <row r="131" spans="1:26" s="26" customFormat="1" ht="30.95" customHeight="1" x14ac:dyDescent="0.3">
      <c r="A131" s="95"/>
      <c r="B131" s="96"/>
      <c r="C131" s="96"/>
      <c r="D131" s="96"/>
      <c r="E131" s="96"/>
      <c r="F131" s="96"/>
      <c r="G131" s="96"/>
      <c r="H131" s="97"/>
      <c r="I131" s="95"/>
      <c r="J131" s="96"/>
      <c r="K131" s="96"/>
      <c r="L131" s="96"/>
      <c r="M131" s="96"/>
      <c r="N131" s="96"/>
      <c r="O131" s="96"/>
      <c r="P131" s="97"/>
      <c r="R131" s="36">
        <v>8</v>
      </c>
      <c r="S131" s="29"/>
      <c r="T131" s="29">
        <f t="shared" si="45"/>
        <v>1</v>
      </c>
    </row>
    <row r="132" spans="1:26" s="26" customFormat="1" ht="30.95" customHeight="1" x14ac:dyDescent="0.3">
      <c r="A132" s="98"/>
      <c r="B132" s="99"/>
      <c r="C132" s="99"/>
      <c r="D132" s="99"/>
      <c r="E132" s="99"/>
      <c r="F132" s="99"/>
      <c r="G132" s="99"/>
      <c r="H132" s="100"/>
      <c r="I132" s="98"/>
      <c r="J132" s="99"/>
      <c r="K132" s="99"/>
      <c r="L132" s="99"/>
      <c r="M132" s="99"/>
      <c r="N132" s="99"/>
      <c r="O132" s="99"/>
      <c r="P132" s="100"/>
      <c r="R132" s="36">
        <v>9</v>
      </c>
      <c r="S132" s="29"/>
      <c r="T132" s="29">
        <f t="shared" si="45"/>
        <v>1</v>
      </c>
    </row>
    <row r="133" spans="1:26" s="31" customFormat="1" ht="30.95" customHeight="1" x14ac:dyDescent="0.3">
      <c r="A133" s="101" t="str">
        <f t="shared" ref="A133" si="46">$A$13</f>
        <v>성    명</v>
      </c>
      <c r="B133" s="102"/>
      <c r="C133" s="103" t="str">
        <f>명세서_철거!$B$30</f>
        <v>김길홍</v>
      </c>
      <c r="D133" s="104"/>
      <c r="E133" s="38" t="str">
        <f t="shared" ref="E133" si="47">$E$13</f>
        <v>연락처</v>
      </c>
      <c r="F133" s="105">
        <f>명세서_철거!$AJ$30</f>
        <v>0</v>
      </c>
      <c r="G133" s="105"/>
      <c r="H133" s="105"/>
      <c r="I133" s="106" t="str">
        <f t="shared" ref="I133" si="48">$I$13</f>
        <v>은행</v>
      </c>
      <c r="J133" s="107"/>
      <c r="K133" s="39">
        <f>명세서_철거!$AK$30</f>
        <v>0</v>
      </c>
      <c r="L133" s="40" t="str">
        <f t="shared" ref="L133" si="49">$L$13</f>
        <v>계좌번호</v>
      </c>
      <c r="M133" s="106">
        <f>명세서_철거!$AL$30</f>
        <v>0</v>
      </c>
      <c r="N133" s="108"/>
      <c r="O133" s="108"/>
      <c r="P133" s="107"/>
      <c r="R133" s="36">
        <v>10</v>
      </c>
      <c r="S133" s="36"/>
      <c r="T133" s="29">
        <f t="shared" ref="T133" si="50">T124</f>
        <v>1</v>
      </c>
      <c r="U133" s="31">
        <f>U123+2</f>
        <v>30</v>
      </c>
      <c r="V133" s="31" t="str">
        <f>V$3&amp;$U133</f>
        <v>B30</v>
      </c>
      <c r="X133" s="31" t="str">
        <f>X$3&amp;$U133</f>
        <v>AJ30</v>
      </c>
      <c r="Y133" s="31" t="str">
        <f>Y$3&amp;$U133</f>
        <v>AK30</v>
      </c>
      <c r="Z133" s="31" t="str">
        <f>Z$3&amp;$U133</f>
        <v>AL30</v>
      </c>
    </row>
    <row r="134" spans="1:26" s="26" customFormat="1" ht="30.95" customHeight="1" x14ac:dyDescent="0.3">
      <c r="A134" s="92" t="s">
        <v>38</v>
      </c>
      <c r="B134" s="93"/>
      <c r="C134" s="93"/>
      <c r="D134" s="93"/>
      <c r="E134" s="93"/>
      <c r="F134" s="93"/>
      <c r="G134" s="93"/>
      <c r="H134" s="94"/>
      <c r="I134" s="92" t="s">
        <v>39</v>
      </c>
      <c r="J134" s="93"/>
      <c r="K134" s="93"/>
      <c r="L134" s="93"/>
      <c r="M134" s="93"/>
      <c r="N134" s="93"/>
      <c r="O134" s="93"/>
      <c r="P134" s="94"/>
      <c r="R134" s="36">
        <v>1</v>
      </c>
      <c r="S134" s="29"/>
      <c r="T134" s="29">
        <f t="shared" ref="T134" si="51">T124</f>
        <v>1</v>
      </c>
      <c r="U134" s="31"/>
      <c r="W134" s="31"/>
    </row>
    <row r="135" spans="1:26" s="26" customFormat="1" ht="30.95" customHeight="1" x14ac:dyDescent="0.3">
      <c r="A135" s="95"/>
      <c r="B135" s="96"/>
      <c r="C135" s="96"/>
      <c r="D135" s="96"/>
      <c r="E135" s="96"/>
      <c r="F135" s="96"/>
      <c r="G135" s="96"/>
      <c r="H135" s="97"/>
      <c r="I135" s="95"/>
      <c r="J135" s="96"/>
      <c r="K135" s="96"/>
      <c r="L135" s="96"/>
      <c r="M135" s="96"/>
      <c r="N135" s="96"/>
      <c r="O135" s="96"/>
      <c r="P135" s="97"/>
      <c r="R135" s="36">
        <v>2</v>
      </c>
      <c r="S135" s="29"/>
      <c r="T135" s="29">
        <f t="shared" ref="T135" si="52">T134</f>
        <v>1</v>
      </c>
    </row>
    <row r="136" spans="1:26" s="26" customFormat="1" ht="30.95" customHeight="1" x14ac:dyDescent="0.3">
      <c r="A136" s="95"/>
      <c r="B136" s="96"/>
      <c r="C136" s="96"/>
      <c r="D136" s="96"/>
      <c r="E136" s="96"/>
      <c r="F136" s="96"/>
      <c r="G136" s="96"/>
      <c r="H136" s="97"/>
      <c r="I136" s="95"/>
      <c r="J136" s="96"/>
      <c r="K136" s="96"/>
      <c r="L136" s="96"/>
      <c r="M136" s="96"/>
      <c r="N136" s="96"/>
      <c r="O136" s="96"/>
      <c r="P136" s="97"/>
      <c r="R136" s="36">
        <v>3</v>
      </c>
      <c r="S136" s="29"/>
      <c r="T136" s="29">
        <f t="shared" si="13"/>
        <v>1</v>
      </c>
    </row>
    <row r="137" spans="1:26" s="26" customFormat="1" ht="30.95" customHeight="1" x14ac:dyDescent="0.3">
      <c r="A137" s="95"/>
      <c r="B137" s="96"/>
      <c r="C137" s="96"/>
      <c r="D137" s="96"/>
      <c r="E137" s="96"/>
      <c r="F137" s="96"/>
      <c r="G137" s="96"/>
      <c r="H137" s="97"/>
      <c r="I137" s="95"/>
      <c r="J137" s="96"/>
      <c r="K137" s="96"/>
      <c r="L137" s="96"/>
      <c r="M137" s="96"/>
      <c r="N137" s="96"/>
      <c r="O137" s="96"/>
      <c r="P137" s="97"/>
      <c r="R137" s="36">
        <v>4</v>
      </c>
      <c r="S137" s="29"/>
      <c r="T137" s="29">
        <f t="shared" si="13"/>
        <v>1</v>
      </c>
    </row>
    <row r="138" spans="1:26" s="26" customFormat="1" ht="30.95" customHeight="1" x14ac:dyDescent="0.3">
      <c r="A138" s="95"/>
      <c r="B138" s="96"/>
      <c r="C138" s="96"/>
      <c r="D138" s="96"/>
      <c r="E138" s="96"/>
      <c r="F138" s="96"/>
      <c r="G138" s="96"/>
      <c r="H138" s="97"/>
      <c r="I138" s="95"/>
      <c r="J138" s="96"/>
      <c r="K138" s="96"/>
      <c r="L138" s="96"/>
      <c r="M138" s="96"/>
      <c r="N138" s="96"/>
      <c r="O138" s="96"/>
      <c r="P138" s="97"/>
      <c r="R138" s="36">
        <v>5</v>
      </c>
      <c r="S138" s="29"/>
      <c r="T138" s="29">
        <f t="shared" si="13"/>
        <v>1</v>
      </c>
    </row>
    <row r="139" spans="1:26" s="26" customFormat="1" ht="30.95" customHeight="1" x14ac:dyDescent="0.3">
      <c r="A139" s="95"/>
      <c r="B139" s="96"/>
      <c r="C139" s="96"/>
      <c r="D139" s="96"/>
      <c r="E139" s="96"/>
      <c r="F139" s="96"/>
      <c r="G139" s="96"/>
      <c r="H139" s="97"/>
      <c r="I139" s="95"/>
      <c r="J139" s="96"/>
      <c r="K139" s="96"/>
      <c r="L139" s="96"/>
      <c r="M139" s="96"/>
      <c r="N139" s="96"/>
      <c r="O139" s="96"/>
      <c r="P139" s="97"/>
      <c r="R139" s="36">
        <v>6</v>
      </c>
      <c r="S139" s="29"/>
      <c r="T139" s="29">
        <f t="shared" si="13"/>
        <v>1</v>
      </c>
    </row>
    <row r="140" spans="1:26" s="26" customFormat="1" ht="30.95" customHeight="1" x14ac:dyDescent="0.3">
      <c r="A140" s="95"/>
      <c r="B140" s="96"/>
      <c r="C140" s="96"/>
      <c r="D140" s="96"/>
      <c r="E140" s="96"/>
      <c r="F140" s="96"/>
      <c r="G140" s="96"/>
      <c r="H140" s="97"/>
      <c r="I140" s="95"/>
      <c r="J140" s="96"/>
      <c r="K140" s="96"/>
      <c r="L140" s="96"/>
      <c r="M140" s="96"/>
      <c r="N140" s="96"/>
      <c r="O140" s="96"/>
      <c r="P140" s="97"/>
      <c r="R140" s="36">
        <v>7</v>
      </c>
      <c r="S140" s="29"/>
      <c r="T140" s="29">
        <f t="shared" si="13"/>
        <v>1</v>
      </c>
    </row>
    <row r="141" spans="1:26" s="26" customFormat="1" ht="30.95" customHeight="1" x14ac:dyDescent="0.3">
      <c r="A141" s="95"/>
      <c r="B141" s="96"/>
      <c r="C141" s="96"/>
      <c r="D141" s="96"/>
      <c r="E141" s="96"/>
      <c r="F141" s="96"/>
      <c r="G141" s="96"/>
      <c r="H141" s="97"/>
      <c r="I141" s="95"/>
      <c r="J141" s="96"/>
      <c r="K141" s="96"/>
      <c r="L141" s="96"/>
      <c r="M141" s="96"/>
      <c r="N141" s="96"/>
      <c r="O141" s="96"/>
      <c r="P141" s="97"/>
      <c r="R141" s="36">
        <v>8</v>
      </c>
      <c r="S141" s="29"/>
      <c r="T141" s="29">
        <f t="shared" si="13"/>
        <v>1</v>
      </c>
    </row>
    <row r="142" spans="1:26" s="26" customFormat="1" ht="30.95" customHeight="1" x14ac:dyDescent="0.3">
      <c r="A142" s="98"/>
      <c r="B142" s="99"/>
      <c r="C142" s="99"/>
      <c r="D142" s="99"/>
      <c r="E142" s="99"/>
      <c r="F142" s="99"/>
      <c r="G142" s="99"/>
      <c r="H142" s="100"/>
      <c r="I142" s="98"/>
      <c r="J142" s="99"/>
      <c r="K142" s="99"/>
      <c r="L142" s="99"/>
      <c r="M142" s="99"/>
      <c r="N142" s="99"/>
      <c r="O142" s="99"/>
      <c r="P142" s="100"/>
      <c r="R142" s="36">
        <v>9</v>
      </c>
      <c r="S142" s="29"/>
      <c r="T142" s="29">
        <f t="shared" si="13"/>
        <v>1</v>
      </c>
    </row>
    <row r="143" spans="1:26" s="31" customFormat="1" ht="30.95" customHeight="1" x14ac:dyDescent="0.3">
      <c r="A143" s="101" t="str">
        <f t="shared" ref="A143" si="53">$A$13</f>
        <v>성    명</v>
      </c>
      <c r="B143" s="102"/>
      <c r="C143" s="103" t="str">
        <f>명세서_철거!$B$32</f>
        <v>김재일</v>
      </c>
      <c r="D143" s="104"/>
      <c r="E143" s="38" t="str">
        <f t="shared" ref="E143" si="54">$E$13</f>
        <v>연락처</v>
      </c>
      <c r="F143" s="105">
        <f>명세서_철거!$AJ$32</f>
        <v>0</v>
      </c>
      <c r="G143" s="105"/>
      <c r="H143" s="105"/>
      <c r="I143" s="106" t="str">
        <f t="shared" ref="I143" si="55">$I$13</f>
        <v>은행</v>
      </c>
      <c r="J143" s="107"/>
      <c r="K143" s="39">
        <f>명세서_철거!$AK$32</f>
        <v>0</v>
      </c>
      <c r="L143" s="40" t="str">
        <f t="shared" ref="L143" si="56">$L$13</f>
        <v>계좌번호</v>
      </c>
      <c r="M143" s="106">
        <f>명세서_철거!$AL$32</f>
        <v>0</v>
      </c>
      <c r="N143" s="108"/>
      <c r="O143" s="108"/>
      <c r="P143" s="107"/>
      <c r="R143" s="36">
        <v>10</v>
      </c>
      <c r="S143" s="36"/>
      <c r="T143" s="29">
        <f t="shared" ref="T143" si="57">T124</f>
        <v>1</v>
      </c>
      <c r="U143" s="31">
        <f>U133+2</f>
        <v>32</v>
      </c>
      <c r="V143" s="31" t="str">
        <f>V$3&amp;$U143</f>
        <v>B32</v>
      </c>
      <c r="X143" s="31" t="str">
        <f>X$3&amp;$U143</f>
        <v>AJ32</v>
      </c>
      <c r="Y143" s="31" t="str">
        <f>Y$3&amp;$U143</f>
        <v>AK32</v>
      </c>
      <c r="Z143" s="31" t="str">
        <f>Z$3&amp;$U143</f>
        <v>AL32</v>
      </c>
    </row>
    <row r="144" spans="1:26" s="26" customFormat="1" ht="30.95" customHeight="1" x14ac:dyDescent="0.3">
      <c r="A144" s="92" t="s">
        <v>38</v>
      </c>
      <c r="B144" s="93"/>
      <c r="C144" s="93"/>
      <c r="D144" s="93"/>
      <c r="E144" s="93"/>
      <c r="F144" s="93"/>
      <c r="G144" s="93"/>
      <c r="H144" s="94"/>
      <c r="I144" s="92" t="s">
        <v>39</v>
      </c>
      <c r="J144" s="93"/>
      <c r="K144" s="93"/>
      <c r="L144" s="93"/>
      <c r="M144" s="93"/>
      <c r="N144" s="93"/>
      <c r="O144" s="93"/>
      <c r="P144" s="94"/>
      <c r="R144" s="36">
        <v>1</v>
      </c>
      <c r="S144" s="29"/>
      <c r="T144" s="29">
        <f t="shared" ref="T144" si="58">T124</f>
        <v>1</v>
      </c>
      <c r="U144" s="31"/>
      <c r="W144" s="31"/>
    </row>
    <row r="145" spans="1:26" s="26" customFormat="1" ht="30.95" customHeight="1" x14ac:dyDescent="0.3">
      <c r="A145" s="95"/>
      <c r="B145" s="96"/>
      <c r="C145" s="96"/>
      <c r="D145" s="96"/>
      <c r="E145" s="96"/>
      <c r="F145" s="96"/>
      <c r="G145" s="96"/>
      <c r="H145" s="97"/>
      <c r="I145" s="95"/>
      <c r="J145" s="96"/>
      <c r="K145" s="96"/>
      <c r="L145" s="96"/>
      <c r="M145" s="96"/>
      <c r="N145" s="96"/>
      <c r="O145" s="96"/>
      <c r="P145" s="97"/>
      <c r="R145" s="36">
        <v>2</v>
      </c>
      <c r="S145" s="29"/>
      <c r="T145" s="29">
        <f t="shared" ref="T145" si="59">T144</f>
        <v>1</v>
      </c>
    </row>
    <row r="146" spans="1:26" s="26" customFormat="1" ht="30.95" customHeight="1" x14ac:dyDescent="0.3">
      <c r="A146" s="95"/>
      <c r="B146" s="96"/>
      <c r="C146" s="96"/>
      <c r="D146" s="96"/>
      <c r="E146" s="96"/>
      <c r="F146" s="96"/>
      <c r="G146" s="96"/>
      <c r="H146" s="97"/>
      <c r="I146" s="95"/>
      <c r="J146" s="96"/>
      <c r="K146" s="96"/>
      <c r="L146" s="96"/>
      <c r="M146" s="96"/>
      <c r="N146" s="96"/>
      <c r="O146" s="96"/>
      <c r="P146" s="97"/>
      <c r="R146" s="36">
        <v>3</v>
      </c>
      <c r="S146" s="29"/>
      <c r="T146" s="29">
        <f t="shared" si="20"/>
        <v>1</v>
      </c>
    </row>
    <row r="147" spans="1:26" s="26" customFormat="1" ht="30.95" customHeight="1" x14ac:dyDescent="0.3">
      <c r="A147" s="95"/>
      <c r="B147" s="96"/>
      <c r="C147" s="96"/>
      <c r="D147" s="96"/>
      <c r="E147" s="96"/>
      <c r="F147" s="96"/>
      <c r="G147" s="96"/>
      <c r="H147" s="97"/>
      <c r="I147" s="95"/>
      <c r="J147" s="96"/>
      <c r="K147" s="96"/>
      <c r="L147" s="96"/>
      <c r="M147" s="96"/>
      <c r="N147" s="96"/>
      <c r="O147" s="96"/>
      <c r="P147" s="97"/>
      <c r="R147" s="36">
        <v>4</v>
      </c>
      <c r="S147" s="29"/>
      <c r="T147" s="29">
        <f t="shared" si="20"/>
        <v>1</v>
      </c>
    </row>
    <row r="148" spans="1:26" s="26" customFormat="1" ht="30.95" customHeight="1" x14ac:dyDescent="0.3">
      <c r="A148" s="95"/>
      <c r="B148" s="96"/>
      <c r="C148" s="96"/>
      <c r="D148" s="96"/>
      <c r="E148" s="96"/>
      <c r="F148" s="96"/>
      <c r="G148" s="96"/>
      <c r="H148" s="97"/>
      <c r="I148" s="95"/>
      <c r="J148" s="96"/>
      <c r="K148" s="96"/>
      <c r="L148" s="96"/>
      <c r="M148" s="96"/>
      <c r="N148" s="96"/>
      <c r="O148" s="96"/>
      <c r="P148" s="97"/>
      <c r="R148" s="36">
        <v>5</v>
      </c>
      <c r="S148" s="29"/>
      <c r="T148" s="29">
        <f t="shared" si="20"/>
        <v>1</v>
      </c>
    </row>
    <row r="149" spans="1:26" s="26" customFormat="1" ht="30.95" customHeight="1" x14ac:dyDescent="0.3">
      <c r="A149" s="95"/>
      <c r="B149" s="96"/>
      <c r="C149" s="96"/>
      <c r="D149" s="96"/>
      <c r="E149" s="96"/>
      <c r="F149" s="96"/>
      <c r="G149" s="96"/>
      <c r="H149" s="97"/>
      <c r="I149" s="95"/>
      <c r="J149" s="96"/>
      <c r="K149" s="96"/>
      <c r="L149" s="96"/>
      <c r="M149" s="96"/>
      <c r="N149" s="96"/>
      <c r="O149" s="96"/>
      <c r="P149" s="97"/>
      <c r="R149" s="36">
        <v>6</v>
      </c>
      <c r="S149" s="29"/>
      <c r="T149" s="29">
        <f t="shared" ref="T149:T183" si="60">T148</f>
        <v>1</v>
      </c>
    </row>
    <row r="150" spans="1:26" s="26" customFormat="1" ht="30.95" customHeight="1" x14ac:dyDescent="0.3">
      <c r="A150" s="95"/>
      <c r="B150" s="96"/>
      <c r="C150" s="96"/>
      <c r="D150" s="96"/>
      <c r="E150" s="96"/>
      <c r="F150" s="96"/>
      <c r="G150" s="96"/>
      <c r="H150" s="97"/>
      <c r="I150" s="95"/>
      <c r="J150" s="96"/>
      <c r="K150" s="96"/>
      <c r="L150" s="96"/>
      <c r="M150" s="96"/>
      <c r="N150" s="96"/>
      <c r="O150" s="96"/>
      <c r="P150" s="97"/>
      <c r="R150" s="36">
        <v>7</v>
      </c>
      <c r="S150" s="29"/>
      <c r="T150" s="29">
        <f t="shared" si="60"/>
        <v>1</v>
      </c>
    </row>
    <row r="151" spans="1:26" s="26" customFormat="1" ht="30.95" customHeight="1" x14ac:dyDescent="0.3">
      <c r="A151" s="95"/>
      <c r="B151" s="96"/>
      <c r="C151" s="96"/>
      <c r="D151" s="96"/>
      <c r="E151" s="96"/>
      <c r="F151" s="96"/>
      <c r="G151" s="96"/>
      <c r="H151" s="97"/>
      <c r="I151" s="95"/>
      <c r="J151" s="96"/>
      <c r="K151" s="96"/>
      <c r="L151" s="96"/>
      <c r="M151" s="96"/>
      <c r="N151" s="96"/>
      <c r="O151" s="96"/>
      <c r="P151" s="97"/>
      <c r="R151" s="36">
        <v>8</v>
      </c>
      <c r="S151" s="29"/>
      <c r="T151" s="29">
        <f t="shared" si="60"/>
        <v>1</v>
      </c>
    </row>
    <row r="152" spans="1:26" s="26" customFormat="1" ht="30.95" customHeight="1" x14ac:dyDescent="0.3">
      <c r="A152" s="98"/>
      <c r="B152" s="99"/>
      <c r="C152" s="99"/>
      <c r="D152" s="99"/>
      <c r="E152" s="99"/>
      <c r="F152" s="99"/>
      <c r="G152" s="99"/>
      <c r="H152" s="100"/>
      <c r="I152" s="98"/>
      <c r="J152" s="99"/>
      <c r="K152" s="99"/>
      <c r="L152" s="99"/>
      <c r="M152" s="99"/>
      <c r="N152" s="99"/>
      <c r="O152" s="99"/>
      <c r="P152" s="100"/>
      <c r="R152" s="36">
        <v>9</v>
      </c>
      <c r="S152" s="29"/>
      <c r="T152" s="29">
        <f t="shared" si="60"/>
        <v>1</v>
      </c>
    </row>
    <row r="153" spans="1:26" s="31" customFormat="1" ht="30.95" customHeight="1" x14ac:dyDescent="0.3">
      <c r="A153" s="101" t="str">
        <f t="shared" ref="A153" si="61">$A$13</f>
        <v>성    명</v>
      </c>
      <c r="B153" s="102"/>
      <c r="C153" s="103" t="str">
        <f>명세서_철거!$B$34</f>
        <v>박세찬</v>
      </c>
      <c r="D153" s="104"/>
      <c r="E153" s="38" t="str">
        <f t="shared" ref="E153" si="62">$E$13</f>
        <v>연락처</v>
      </c>
      <c r="F153" s="105">
        <f>명세서_철거!$AJ$34</f>
        <v>0</v>
      </c>
      <c r="G153" s="105"/>
      <c r="H153" s="105"/>
      <c r="I153" s="106" t="str">
        <f t="shared" ref="I153" si="63">$I$13</f>
        <v>은행</v>
      </c>
      <c r="J153" s="107"/>
      <c r="K153" s="39">
        <f>명세서_철거!$AK$34</f>
        <v>0</v>
      </c>
      <c r="L153" s="40" t="str">
        <f t="shared" ref="L153" si="64">$L$13</f>
        <v>계좌번호</v>
      </c>
      <c r="M153" s="106">
        <f>명세서_철거!$AL$34</f>
        <v>0</v>
      </c>
      <c r="N153" s="108"/>
      <c r="O153" s="108"/>
      <c r="P153" s="107"/>
      <c r="R153" s="36">
        <v>10</v>
      </c>
      <c r="S153" s="36"/>
      <c r="T153" s="29">
        <f t="shared" si="60"/>
        <v>1</v>
      </c>
      <c r="U153" s="31">
        <f>U143+2</f>
        <v>34</v>
      </c>
      <c r="V153" s="31" t="str">
        <f>V$3&amp;$U153</f>
        <v>B34</v>
      </c>
      <c r="X153" s="31" t="str">
        <f>X$3&amp;$U153</f>
        <v>AJ34</v>
      </c>
      <c r="Y153" s="31" t="str">
        <f>Y$3&amp;$U153</f>
        <v>AK34</v>
      </c>
      <c r="Z153" s="31" t="str">
        <f>Z$3&amp;$U153</f>
        <v>AL34</v>
      </c>
    </row>
    <row r="154" spans="1:26" s="26" customFormat="1" ht="30.95" customHeight="1" x14ac:dyDescent="0.3">
      <c r="A154" s="92" t="s">
        <v>38</v>
      </c>
      <c r="B154" s="93"/>
      <c r="C154" s="93"/>
      <c r="D154" s="93"/>
      <c r="E154" s="93"/>
      <c r="F154" s="93"/>
      <c r="G154" s="93"/>
      <c r="H154" s="94"/>
      <c r="I154" s="92" t="s">
        <v>39</v>
      </c>
      <c r="J154" s="93"/>
      <c r="K154" s="93"/>
      <c r="L154" s="93"/>
      <c r="M154" s="93"/>
      <c r="N154" s="93"/>
      <c r="O154" s="93"/>
      <c r="P154" s="94"/>
      <c r="R154" s="36">
        <v>1</v>
      </c>
      <c r="S154" s="29">
        <f>S124+1</f>
        <v>6</v>
      </c>
      <c r="T154" s="37">
        <f>IF(명세서_철거!$AE$36=0,0,1)</f>
        <v>1</v>
      </c>
      <c r="U154" s="31">
        <f>U163</f>
        <v>36</v>
      </c>
      <c r="W154" s="31" t="str">
        <f>W$3&amp;$U154</f>
        <v>AE36</v>
      </c>
    </row>
    <row r="155" spans="1:26" s="26" customFormat="1" ht="30.95" customHeight="1" x14ac:dyDescent="0.3">
      <c r="A155" s="95"/>
      <c r="B155" s="96"/>
      <c r="C155" s="96"/>
      <c r="D155" s="96"/>
      <c r="E155" s="96"/>
      <c r="F155" s="96"/>
      <c r="G155" s="96"/>
      <c r="H155" s="97"/>
      <c r="I155" s="95"/>
      <c r="J155" s="96"/>
      <c r="K155" s="96"/>
      <c r="L155" s="96"/>
      <c r="M155" s="96"/>
      <c r="N155" s="96"/>
      <c r="O155" s="96"/>
      <c r="P155" s="97"/>
      <c r="R155" s="36">
        <v>2</v>
      </c>
      <c r="S155" s="29"/>
      <c r="T155" s="29">
        <f t="shared" ref="T155" si="65">T154</f>
        <v>1</v>
      </c>
    </row>
    <row r="156" spans="1:26" s="26" customFormat="1" ht="30.95" customHeight="1" x14ac:dyDescent="0.3">
      <c r="A156" s="95"/>
      <c r="B156" s="96"/>
      <c r="C156" s="96"/>
      <c r="D156" s="96"/>
      <c r="E156" s="96"/>
      <c r="F156" s="96"/>
      <c r="G156" s="96"/>
      <c r="H156" s="97"/>
      <c r="I156" s="95"/>
      <c r="J156" s="96"/>
      <c r="K156" s="96"/>
      <c r="L156" s="96"/>
      <c r="M156" s="96"/>
      <c r="N156" s="96"/>
      <c r="O156" s="96"/>
      <c r="P156" s="97"/>
      <c r="R156" s="36">
        <v>3</v>
      </c>
      <c r="S156" s="29"/>
      <c r="T156" s="29">
        <f t="shared" si="45"/>
        <v>1</v>
      </c>
    </row>
    <row r="157" spans="1:26" s="26" customFormat="1" ht="30.95" customHeight="1" x14ac:dyDescent="0.3">
      <c r="A157" s="95"/>
      <c r="B157" s="96"/>
      <c r="C157" s="96"/>
      <c r="D157" s="96"/>
      <c r="E157" s="96"/>
      <c r="F157" s="96"/>
      <c r="G157" s="96"/>
      <c r="H157" s="97"/>
      <c r="I157" s="95"/>
      <c r="J157" s="96"/>
      <c r="K157" s="96"/>
      <c r="L157" s="96"/>
      <c r="M157" s="96"/>
      <c r="N157" s="96"/>
      <c r="O157" s="96"/>
      <c r="P157" s="97"/>
      <c r="R157" s="36">
        <v>4</v>
      </c>
      <c r="S157" s="29"/>
      <c r="T157" s="29">
        <f t="shared" si="45"/>
        <v>1</v>
      </c>
    </row>
    <row r="158" spans="1:26" s="26" customFormat="1" ht="30.95" customHeight="1" x14ac:dyDescent="0.3">
      <c r="A158" s="95"/>
      <c r="B158" s="96"/>
      <c r="C158" s="96"/>
      <c r="D158" s="96"/>
      <c r="E158" s="96"/>
      <c r="F158" s="96"/>
      <c r="G158" s="96"/>
      <c r="H158" s="97"/>
      <c r="I158" s="95"/>
      <c r="J158" s="96"/>
      <c r="K158" s="96"/>
      <c r="L158" s="96"/>
      <c r="M158" s="96"/>
      <c r="N158" s="96"/>
      <c r="O158" s="96"/>
      <c r="P158" s="97"/>
      <c r="R158" s="36">
        <v>5</v>
      </c>
      <c r="S158" s="29"/>
      <c r="T158" s="29">
        <f t="shared" si="45"/>
        <v>1</v>
      </c>
    </row>
    <row r="159" spans="1:26" s="26" customFormat="1" ht="30.95" customHeight="1" x14ac:dyDescent="0.3">
      <c r="A159" s="95"/>
      <c r="B159" s="96"/>
      <c r="C159" s="96"/>
      <c r="D159" s="96"/>
      <c r="E159" s="96"/>
      <c r="F159" s="96"/>
      <c r="G159" s="96"/>
      <c r="H159" s="97"/>
      <c r="I159" s="95"/>
      <c r="J159" s="96"/>
      <c r="K159" s="96"/>
      <c r="L159" s="96"/>
      <c r="M159" s="96"/>
      <c r="N159" s="96"/>
      <c r="O159" s="96"/>
      <c r="P159" s="97"/>
      <c r="R159" s="36">
        <v>6</v>
      </c>
      <c r="S159" s="29"/>
      <c r="T159" s="29">
        <f t="shared" si="45"/>
        <v>1</v>
      </c>
    </row>
    <row r="160" spans="1:26" s="26" customFormat="1" ht="30.95" customHeight="1" x14ac:dyDescent="0.3">
      <c r="A160" s="95"/>
      <c r="B160" s="96"/>
      <c r="C160" s="96"/>
      <c r="D160" s="96"/>
      <c r="E160" s="96"/>
      <c r="F160" s="96"/>
      <c r="G160" s="96"/>
      <c r="H160" s="97"/>
      <c r="I160" s="95"/>
      <c r="J160" s="96"/>
      <c r="K160" s="96"/>
      <c r="L160" s="96"/>
      <c r="M160" s="96"/>
      <c r="N160" s="96"/>
      <c r="O160" s="96"/>
      <c r="P160" s="97"/>
      <c r="R160" s="36">
        <v>7</v>
      </c>
      <c r="S160" s="29"/>
      <c r="T160" s="29">
        <f t="shared" si="45"/>
        <v>1</v>
      </c>
    </row>
    <row r="161" spans="1:26" s="26" customFormat="1" ht="30.95" customHeight="1" x14ac:dyDescent="0.3">
      <c r="A161" s="95"/>
      <c r="B161" s="96"/>
      <c r="C161" s="96"/>
      <c r="D161" s="96"/>
      <c r="E161" s="96"/>
      <c r="F161" s="96"/>
      <c r="G161" s="96"/>
      <c r="H161" s="97"/>
      <c r="I161" s="95"/>
      <c r="J161" s="96"/>
      <c r="K161" s="96"/>
      <c r="L161" s="96"/>
      <c r="M161" s="96"/>
      <c r="N161" s="96"/>
      <c r="O161" s="96"/>
      <c r="P161" s="97"/>
      <c r="R161" s="36">
        <v>8</v>
      </c>
      <c r="S161" s="29"/>
      <c r="T161" s="29">
        <f t="shared" si="45"/>
        <v>1</v>
      </c>
    </row>
    <row r="162" spans="1:26" s="26" customFormat="1" ht="30.95" customHeight="1" x14ac:dyDescent="0.3">
      <c r="A162" s="98"/>
      <c r="B162" s="99"/>
      <c r="C162" s="99"/>
      <c r="D162" s="99"/>
      <c r="E162" s="99"/>
      <c r="F162" s="99"/>
      <c r="G162" s="99"/>
      <c r="H162" s="100"/>
      <c r="I162" s="98"/>
      <c r="J162" s="99"/>
      <c r="K162" s="99"/>
      <c r="L162" s="99"/>
      <c r="M162" s="99"/>
      <c r="N162" s="99"/>
      <c r="O162" s="99"/>
      <c r="P162" s="100"/>
      <c r="R162" s="36">
        <v>9</v>
      </c>
      <c r="S162" s="29"/>
      <c r="T162" s="29">
        <f t="shared" si="45"/>
        <v>1</v>
      </c>
    </row>
    <row r="163" spans="1:26" s="31" customFormat="1" ht="30.95" customHeight="1" x14ac:dyDescent="0.3">
      <c r="A163" s="101" t="str">
        <f t="shared" ref="A163" si="66">$A$13</f>
        <v>성    명</v>
      </c>
      <c r="B163" s="102"/>
      <c r="C163" s="103" t="str">
        <f>명세서_철거!$B$36</f>
        <v>박현광</v>
      </c>
      <c r="D163" s="104"/>
      <c r="E163" s="38" t="str">
        <f t="shared" ref="E163" si="67">$E$13</f>
        <v>연락처</v>
      </c>
      <c r="F163" s="105">
        <f>명세서_철거!$AJ$36</f>
        <v>0</v>
      </c>
      <c r="G163" s="105"/>
      <c r="H163" s="105"/>
      <c r="I163" s="106" t="str">
        <f t="shared" ref="I163" si="68">$I$13</f>
        <v>은행</v>
      </c>
      <c r="J163" s="107"/>
      <c r="K163" s="39">
        <f>명세서_철거!$AK$36</f>
        <v>0</v>
      </c>
      <c r="L163" s="40" t="str">
        <f t="shared" ref="L163" si="69">$L$13</f>
        <v>계좌번호</v>
      </c>
      <c r="M163" s="106">
        <f>명세서_철거!$AL$36</f>
        <v>0</v>
      </c>
      <c r="N163" s="108"/>
      <c r="O163" s="108"/>
      <c r="P163" s="107"/>
      <c r="R163" s="36">
        <v>10</v>
      </c>
      <c r="S163" s="36"/>
      <c r="T163" s="29">
        <f t="shared" ref="T163" si="70">T154</f>
        <v>1</v>
      </c>
      <c r="U163" s="31">
        <f>U153+2</f>
        <v>36</v>
      </c>
      <c r="V163" s="31" t="str">
        <f>V$3&amp;$U163</f>
        <v>B36</v>
      </c>
      <c r="X163" s="31" t="str">
        <f>X$3&amp;$U163</f>
        <v>AJ36</v>
      </c>
      <c r="Y163" s="31" t="str">
        <f>Y$3&amp;$U163</f>
        <v>AK36</v>
      </c>
      <c r="Z163" s="31" t="str">
        <f>Z$3&amp;$U163</f>
        <v>AL36</v>
      </c>
    </row>
    <row r="164" spans="1:26" s="26" customFormat="1" ht="30.95" customHeight="1" x14ac:dyDescent="0.3">
      <c r="A164" s="92" t="s">
        <v>38</v>
      </c>
      <c r="B164" s="93"/>
      <c r="C164" s="93"/>
      <c r="D164" s="93"/>
      <c r="E164" s="93"/>
      <c r="F164" s="93"/>
      <c r="G164" s="93"/>
      <c r="H164" s="94"/>
      <c r="I164" s="92" t="s">
        <v>39</v>
      </c>
      <c r="J164" s="93"/>
      <c r="K164" s="93"/>
      <c r="L164" s="93"/>
      <c r="M164" s="93"/>
      <c r="N164" s="93"/>
      <c r="O164" s="93"/>
      <c r="P164" s="94"/>
      <c r="R164" s="36">
        <v>1</v>
      </c>
      <c r="S164" s="29"/>
      <c r="T164" s="29">
        <f t="shared" ref="T164" si="71">T154</f>
        <v>1</v>
      </c>
      <c r="U164" s="31"/>
      <c r="W164" s="31"/>
    </row>
    <row r="165" spans="1:26" s="26" customFormat="1" ht="30.95" customHeight="1" x14ac:dyDescent="0.3">
      <c r="A165" s="95"/>
      <c r="B165" s="96"/>
      <c r="C165" s="96"/>
      <c r="D165" s="96"/>
      <c r="E165" s="96"/>
      <c r="F165" s="96"/>
      <c r="G165" s="96"/>
      <c r="H165" s="97"/>
      <c r="I165" s="95"/>
      <c r="J165" s="96"/>
      <c r="K165" s="96"/>
      <c r="L165" s="96"/>
      <c r="M165" s="96"/>
      <c r="N165" s="96"/>
      <c r="O165" s="96"/>
      <c r="P165" s="97"/>
      <c r="R165" s="36">
        <v>2</v>
      </c>
      <c r="S165" s="29"/>
      <c r="T165" s="29">
        <f t="shared" ref="T165:T202" si="72">T164</f>
        <v>1</v>
      </c>
    </row>
    <row r="166" spans="1:26" s="26" customFormat="1" ht="30.95" customHeight="1" x14ac:dyDescent="0.3">
      <c r="A166" s="95"/>
      <c r="B166" s="96"/>
      <c r="C166" s="96"/>
      <c r="D166" s="96"/>
      <c r="E166" s="96"/>
      <c r="F166" s="96"/>
      <c r="G166" s="96"/>
      <c r="H166" s="97"/>
      <c r="I166" s="95"/>
      <c r="J166" s="96"/>
      <c r="K166" s="96"/>
      <c r="L166" s="96"/>
      <c r="M166" s="96"/>
      <c r="N166" s="96"/>
      <c r="O166" s="96"/>
      <c r="P166" s="97"/>
      <c r="R166" s="36">
        <v>3</v>
      </c>
      <c r="S166" s="29"/>
      <c r="T166" s="29">
        <f t="shared" si="72"/>
        <v>1</v>
      </c>
    </row>
    <row r="167" spans="1:26" s="26" customFormat="1" ht="30.95" customHeight="1" x14ac:dyDescent="0.3">
      <c r="A167" s="95"/>
      <c r="B167" s="96"/>
      <c r="C167" s="96"/>
      <c r="D167" s="96"/>
      <c r="E167" s="96"/>
      <c r="F167" s="96"/>
      <c r="G167" s="96"/>
      <c r="H167" s="97"/>
      <c r="I167" s="95"/>
      <c r="J167" s="96"/>
      <c r="K167" s="96"/>
      <c r="L167" s="96"/>
      <c r="M167" s="96"/>
      <c r="N167" s="96"/>
      <c r="O167" s="96"/>
      <c r="P167" s="97"/>
      <c r="R167" s="36">
        <v>4</v>
      </c>
      <c r="S167" s="29"/>
      <c r="T167" s="29">
        <f t="shared" si="72"/>
        <v>1</v>
      </c>
    </row>
    <row r="168" spans="1:26" s="26" customFormat="1" ht="30.95" customHeight="1" x14ac:dyDescent="0.3">
      <c r="A168" s="95"/>
      <c r="B168" s="96"/>
      <c r="C168" s="96"/>
      <c r="D168" s="96"/>
      <c r="E168" s="96"/>
      <c r="F168" s="96"/>
      <c r="G168" s="96"/>
      <c r="H168" s="97"/>
      <c r="I168" s="95"/>
      <c r="J168" s="96"/>
      <c r="K168" s="96"/>
      <c r="L168" s="96"/>
      <c r="M168" s="96"/>
      <c r="N168" s="96"/>
      <c r="O168" s="96"/>
      <c r="P168" s="97"/>
      <c r="R168" s="36">
        <v>5</v>
      </c>
      <c r="S168" s="29"/>
      <c r="T168" s="29">
        <f t="shared" si="72"/>
        <v>1</v>
      </c>
    </row>
    <row r="169" spans="1:26" s="26" customFormat="1" ht="30.95" customHeight="1" x14ac:dyDescent="0.3">
      <c r="A169" s="95"/>
      <c r="B169" s="96"/>
      <c r="C169" s="96"/>
      <c r="D169" s="96"/>
      <c r="E169" s="96"/>
      <c r="F169" s="96"/>
      <c r="G169" s="96"/>
      <c r="H169" s="97"/>
      <c r="I169" s="95"/>
      <c r="J169" s="96"/>
      <c r="K169" s="96"/>
      <c r="L169" s="96"/>
      <c r="M169" s="96"/>
      <c r="N169" s="96"/>
      <c r="O169" s="96"/>
      <c r="P169" s="97"/>
      <c r="R169" s="36">
        <v>6</v>
      </c>
      <c r="S169" s="29"/>
      <c r="T169" s="29">
        <f t="shared" si="72"/>
        <v>1</v>
      </c>
    </row>
    <row r="170" spans="1:26" s="26" customFormat="1" ht="30.95" customHeight="1" x14ac:dyDescent="0.3">
      <c r="A170" s="95"/>
      <c r="B170" s="96"/>
      <c r="C170" s="96"/>
      <c r="D170" s="96"/>
      <c r="E170" s="96"/>
      <c r="F170" s="96"/>
      <c r="G170" s="96"/>
      <c r="H170" s="97"/>
      <c r="I170" s="95"/>
      <c r="J170" s="96"/>
      <c r="K170" s="96"/>
      <c r="L170" s="96"/>
      <c r="M170" s="96"/>
      <c r="N170" s="96"/>
      <c r="O170" s="96"/>
      <c r="P170" s="97"/>
      <c r="R170" s="36">
        <v>7</v>
      </c>
      <c r="S170" s="29"/>
      <c r="T170" s="29">
        <f t="shared" si="72"/>
        <v>1</v>
      </c>
    </row>
    <row r="171" spans="1:26" s="26" customFormat="1" ht="30.95" customHeight="1" x14ac:dyDescent="0.3">
      <c r="A171" s="95"/>
      <c r="B171" s="96"/>
      <c r="C171" s="96"/>
      <c r="D171" s="96"/>
      <c r="E171" s="96"/>
      <c r="F171" s="96"/>
      <c r="G171" s="96"/>
      <c r="H171" s="97"/>
      <c r="I171" s="95"/>
      <c r="J171" s="96"/>
      <c r="K171" s="96"/>
      <c r="L171" s="96"/>
      <c r="M171" s="96"/>
      <c r="N171" s="96"/>
      <c r="O171" s="96"/>
      <c r="P171" s="97"/>
      <c r="R171" s="36">
        <v>8</v>
      </c>
      <c r="S171" s="29"/>
      <c r="T171" s="29">
        <f t="shared" si="72"/>
        <v>1</v>
      </c>
    </row>
    <row r="172" spans="1:26" s="26" customFormat="1" ht="30.95" customHeight="1" x14ac:dyDescent="0.3">
      <c r="A172" s="98"/>
      <c r="B172" s="99"/>
      <c r="C172" s="99"/>
      <c r="D172" s="99"/>
      <c r="E172" s="99"/>
      <c r="F172" s="99"/>
      <c r="G172" s="99"/>
      <c r="H172" s="100"/>
      <c r="I172" s="98"/>
      <c r="J172" s="99"/>
      <c r="K172" s="99"/>
      <c r="L172" s="99"/>
      <c r="M172" s="99"/>
      <c r="N172" s="99"/>
      <c r="O172" s="99"/>
      <c r="P172" s="100"/>
      <c r="R172" s="36">
        <v>9</v>
      </c>
      <c r="S172" s="29"/>
      <c r="T172" s="29">
        <f t="shared" si="72"/>
        <v>1</v>
      </c>
    </row>
    <row r="173" spans="1:26" s="31" customFormat="1" ht="30.95" customHeight="1" x14ac:dyDescent="0.3">
      <c r="A173" s="101" t="str">
        <f t="shared" ref="A173" si="73">$A$13</f>
        <v>성    명</v>
      </c>
      <c r="B173" s="102"/>
      <c r="C173" s="103" t="str">
        <f>명세서_철거!$B$38</f>
        <v>백충현</v>
      </c>
      <c r="D173" s="104"/>
      <c r="E173" s="38" t="str">
        <f t="shared" ref="E173" si="74">$E$13</f>
        <v>연락처</v>
      </c>
      <c r="F173" s="105">
        <f>명세서_철거!$AJ$38</f>
        <v>0</v>
      </c>
      <c r="G173" s="105"/>
      <c r="H173" s="105"/>
      <c r="I173" s="106" t="str">
        <f t="shared" ref="I173" si="75">$I$13</f>
        <v>은행</v>
      </c>
      <c r="J173" s="107"/>
      <c r="K173" s="39">
        <f>명세서_철거!$AK$38</f>
        <v>0</v>
      </c>
      <c r="L173" s="40" t="str">
        <f t="shared" ref="L173" si="76">$L$13</f>
        <v>계좌번호</v>
      </c>
      <c r="M173" s="106">
        <f>명세서_철거!$AL$38</f>
        <v>0</v>
      </c>
      <c r="N173" s="108"/>
      <c r="O173" s="108"/>
      <c r="P173" s="107"/>
      <c r="R173" s="36">
        <v>10</v>
      </c>
      <c r="S173" s="36"/>
      <c r="T173" s="29">
        <f t="shared" ref="T173" si="77">T154</f>
        <v>1</v>
      </c>
      <c r="U173" s="31">
        <f>U163+2</f>
        <v>38</v>
      </c>
      <c r="V173" s="31" t="str">
        <f>V$3&amp;$U173</f>
        <v>B38</v>
      </c>
      <c r="X173" s="31" t="str">
        <f>X$3&amp;$U173</f>
        <v>AJ38</v>
      </c>
      <c r="Y173" s="31" t="str">
        <f>Y$3&amp;$U173</f>
        <v>AK38</v>
      </c>
      <c r="Z173" s="31" t="str">
        <f>Z$3&amp;$U173</f>
        <v>AL38</v>
      </c>
    </row>
    <row r="174" spans="1:26" s="26" customFormat="1" ht="30.95" customHeight="1" x14ac:dyDescent="0.3">
      <c r="A174" s="92" t="s">
        <v>38</v>
      </c>
      <c r="B174" s="93"/>
      <c r="C174" s="93"/>
      <c r="D174" s="93"/>
      <c r="E174" s="93"/>
      <c r="F174" s="93"/>
      <c r="G174" s="93"/>
      <c r="H174" s="94"/>
      <c r="I174" s="92" t="s">
        <v>39</v>
      </c>
      <c r="J174" s="93"/>
      <c r="K174" s="93"/>
      <c r="L174" s="93"/>
      <c r="M174" s="93"/>
      <c r="N174" s="93"/>
      <c r="O174" s="93"/>
      <c r="P174" s="94"/>
      <c r="R174" s="36">
        <v>1</v>
      </c>
      <c r="S174" s="29"/>
      <c r="T174" s="29">
        <f t="shared" ref="T174" si="78">T154</f>
        <v>1</v>
      </c>
      <c r="U174" s="31"/>
      <c r="W174" s="31"/>
    </row>
    <row r="175" spans="1:26" s="26" customFormat="1" ht="30.95" customHeight="1" x14ac:dyDescent="0.3">
      <c r="A175" s="95"/>
      <c r="B175" s="96"/>
      <c r="C175" s="96"/>
      <c r="D175" s="96"/>
      <c r="E175" s="96"/>
      <c r="F175" s="96"/>
      <c r="G175" s="96"/>
      <c r="H175" s="97"/>
      <c r="I175" s="95"/>
      <c r="J175" s="96"/>
      <c r="K175" s="96"/>
      <c r="L175" s="96"/>
      <c r="M175" s="96"/>
      <c r="N175" s="96"/>
      <c r="O175" s="96"/>
      <c r="P175" s="97"/>
      <c r="R175" s="36">
        <v>2</v>
      </c>
      <c r="S175" s="29"/>
      <c r="T175" s="29">
        <f t="shared" ref="T175" si="79">T174</f>
        <v>1</v>
      </c>
    </row>
    <row r="176" spans="1:26" s="26" customFormat="1" ht="30.95" customHeight="1" x14ac:dyDescent="0.3">
      <c r="A176" s="95"/>
      <c r="B176" s="96"/>
      <c r="C176" s="96"/>
      <c r="D176" s="96"/>
      <c r="E176" s="96"/>
      <c r="F176" s="96"/>
      <c r="G176" s="96"/>
      <c r="H176" s="97"/>
      <c r="I176" s="95"/>
      <c r="J176" s="96"/>
      <c r="K176" s="96"/>
      <c r="L176" s="96"/>
      <c r="M176" s="96"/>
      <c r="N176" s="96"/>
      <c r="O176" s="96"/>
      <c r="P176" s="97"/>
      <c r="R176" s="36">
        <v>3</v>
      </c>
      <c r="S176" s="29"/>
      <c r="T176" s="29">
        <f t="shared" si="60"/>
        <v>1</v>
      </c>
    </row>
    <row r="177" spans="1:26" s="26" customFormat="1" ht="30.95" customHeight="1" x14ac:dyDescent="0.3">
      <c r="A177" s="95"/>
      <c r="B177" s="96"/>
      <c r="C177" s="96"/>
      <c r="D177" s="96"/>
      <c r="E177" s="96"/>
      <c r="F177" s="96"/>
      <c r="G177" s="96"/>
      <c r="H177" s="97"/>
      <c r="I177" s="95"/>
      <c r="J177" s="96"/>
      <c r="K177" s="96"/>
      <c r="L177" s="96"/>
      <c r="M177" s="96"/>
      <c r="N177" s="96"/>
      <c r="O177" s="96"/>
      <c r="P177" s="97"/>
      <c r="R177" s="36">
        <v>4</v>
      </c>
      <c r="S177" s="29"/>
      <c r="T177" s="29">
        <f t="shared" si="60"/>
        <v>1</v>
      </c>
    </row>
    <row r="178" spans="1:26" s="26" customFormat="1" ht="30.95" customHeight="1" x14ac:dyDescent="0.3">
      <c r="A178" s="95"/>
      <c r="B178" s="96"/>
      <c r="C178" s="96"/>
      <c r="D178" s="96"/>
      <c r="E178" s="96"/>
      <c r="F178" s="96"/>
      <c r="G178" s="96"/>
      <c r="H178" s="97"/>
      <c r="I178" s="95"/>
      <c r="J178" s="96"/>
      <c r="K178" s="96"/>
      <c r="L178" s="96"/>
      <c r="M178" s="96"/>
      <c r="N178" s="96"/>
      <c r="O178" s="96"/>
      <c r="P178" s="97"/>
      <c r="R178" s="36">
        <v>5</v>
      </c>
      <c r="S178" s="29"/>
      <c r="T178" s="29">
        <f t="shared" si="60"/>
        <v>1</v>
      </c>
    </row>
    <row r="179" spans="1:26" s="26" customFormat="1" ht="30.95" customHeight="1" x14ac:dyDescent="0.3">
      <c r="A179" s="95"/>
      <c r="B179" s="96"/>
      <c r="C179" s="96"/>
      <c r="D179" s="96"/>
      <c r="E179" s="96"/>
      <c r="F179" s="96"/>
      <c r="G179" s="96"/>
      <c r="H179" s="97"/>
      <c r="I179" s="95"/>
      <c r="J179" s="96"/>
      <c r="K179" s="96"/>
      <c r="L179" s="96"/>
      <c r="M179" s="96"/>
      <c r="N179" s="96"/>
      <c r="O179" s="96"/>
      <c r="P179" s="97"/>
      <c r="R179" s="36">
        <v>6</v>
      </c>
      <c r="S179" s="29"/>
      <c r="T179" s="29">
        <f t="shared" si="60"/>
        <v>1</v>
      </c>
    </row>
    <row r="180" spans="1:26" s="26" customFormat="1" ht="30.95" customHeight="1" x14ac:dyDescent="0.3">
      <c r="A180" s="95"/>
      <c r="B180" s="96"/>
      <c r="C180" s="96"/>
      <c r="D180" s="96"/>
      <c r="E180" s="96"/>
      <c r="F180" s="96"/>
      <c r="G180" s="96"/>
      <c r="H180" s="97"/>
      <c r="I180" s="95"/>
      <c r="J180" s="96"/>
      <c r="K180" s="96"/>
      <c r="L180" s="96"/>
      <c r="M180" s="96"/>
      <c r="N180" s="96"/>
      <c r="O180" s="96"/>
      <c r="P180" s="97"/>
      <c r="R180" s="36">
        <v>7</v>
      </c>
      <c r="S180" s="29"/>
      <c r="T180" s="29">
        <f t="shared" si="60"/>
        <v>1</v>
      </c>
    </row>
    <row r="181" spans="1:26" s="26" customFormat="1" ht="30.95" customHeight="1" x14ac:dyDescent="0.3">
      <c r="A181" s="95"/>
      <c r="B181" s="96"/>
      <c r="C181" s="96"/>
      <c r="D181" s="96"/>
      <c r="E181" s="96"/>
      <c r="F181" s="96"/>
      <c r="G181" s="96"/>
      <c r="H181" s="97"/>
      <c r="I181" s="95"/>
      <c r="J181" s="96"/>
      <c r="K181" s="96"/>
      <c r="L181" s="96"/>
      <c r="M181" s="96"/>
      <c r="N181" s="96"/>
      <c r="O181" s="96"/>
      <c r="P181" s="97"/>
      <c r="R181" s="36">
        <v>8</v>
      </c>
      <c r="S181" s="29"/>
      <c r="T181" s="29">
        <f t="shared" si="60"/>
        <v>1</v>
      </c>
    </row>
    <row r="182" spans="1:26" s="26" customFormat="1" ht="30.95" customHeight="1" x14ac:dyDescent="0.3">
      <c r="A182" s="98"/>
      <c r="B182" s="99"/>
      <c r="C182" s="99"/>
      <c r="D182" s="99"/>
      <c r="E182" s="99"/>
      <c r="F182" s="99"/>
      <c r="G182" s="99"/>
      <c r="H182" s="100"/>
      <c r="I182" s="98"/>
      <c r="J182" s="99"/>
      <c r="K182" s="99"/>
      <c r="L182" s="99"/>
      <c r="M182" s="99"/>
      <c r="N182" s="99"/>
      <c r="O182" s="99"/>
      <c r="P182" s="100"/>
      <c r="R182" s="36">
        <v>9</v>
      </c>
      <c r="S182" s="29"/>
      <c r="T182" s="29">
        <f t="shared" si="60"/>
        <v>1</v>
      </c>
    </row>
    <row r="183" spans="1:26" s="31" customFormat="1" ht="30.95" customHeight="1" x14ac:dyDescent="0.3">
      <c r="A183" s="101" t="str">
        <f t="shared" ref="A183" si="80">$A$13</f>
        <v>성    명</v>
      </c>
      <c r="B183" s="102"/>
      <c r="C183" s="103" t="str">
        <f>명세서_철거!$B$40</f>
        <v>이금수</v>
      </c>
      <c r="D183" s="104"/>
      <c r="E183" s="38" t="str">
        <f t="shared" ref="E183" si="81">$E$13</f>
        <v>연락처</v>
      </c>
      <c r="F183" s="105">
        <f>명세서_철거!$AJ$40</f>
        <v>0</v>
      </c>
      <c r="G183" s="105"/>
      <c r="H183" s="105"/>
      <c r="I183" s="106" t="str">
        <f t="shared" ref="I183" si="82">$I$13</f>
        <v>은행</v>
      </c>
      <c r="J183" s="107"/>
      <c r="K183" s="39">
        <f>명세서_철거!$AK$40</f>
        <v>0</v>
      </c>
      <c r="L183" s="40" t="str">
        <f t="shared" ref="L183" si="83">$L$13</f>
        <v>계좌번호</v>
      </c>
      <c r="M183" s="106">
        <f>명세서_철거!$AL$40</f>
        <v>0</v>
      </c>
      <c r="N183" s="108"/>
      <c r="O183" s="108"/>
      <c r="P183" s="107"/>
      <c r="R183" s="36">
        <v>10</v>
      </c>
      <c r="S183" s="36"/>
      <c r="T183" s="29">
        <f t="shared" si="60"/>
        <v>1</v>
      </c>
      <c r="U183" s="31">
        <f>U173+2</f>
        <v>40</v>
      </c>
      <c r="V183" s="31" t="str">
        <f>V$3&amp;$U183</f>
        <v>B40</v>
      </c>
      <c r="X183" s="31" t="str">
        <f>X$3&amp;$U183</f>
        <v>AJ40</v>
      </c>
      <c r="Y183" s="31" t="str">
        <f>Y$3&amp;$U183</f>
        <v>AK40</v>
      </c>
      <c r="Z183" s="31" t="str">
        <f>Z$3&amp;$U183</f>
        <v>AL40</v>
      </c>
    </row>
    <row r="184" spans="1:26" s="26" customFormat="1" ht="30.95" customHeight="1" x14ac:dyDescent="0.3">
      <c r="A184" s="92" t="s">
        <v>38</v>
      </c>
      <c r="B184" s="93"/>
      <c r="C184" s="93"/>
      <c r="D184" s="93"/>
      <c r="E184" s="93"/>
      <c r="F184" s="93"/>
      <c r="G184" s="93"/>
      <c r="H184" s="94"/>
      <c r="I184" s="92" t="s">
        <v>39</v>
      </c>
      <c r="J184" s="93"/>
      <c r="K184" s="93"/>
      <c r="L184" s="93"/>
      <c r="M184" s="93"/>
      <c r="N184" s="93"/>
      <c r="O184" s="93"/>
      <c r="P184" s="94"/>
      <c r="R184" s="36">
        <v>1</v>
      </c>
      <c r="S184" s="29">
        <f>S154+1</f>
        <v>7</v>
      </c>
      <c r="T184" s="37">
        <f>IF(명세서_철거!$AE$42=0,0,1)</f>
        <v>1</v>
      </c>
      <c r="U184" s="31">
        <f>U193</f>
        <v>42</v>
      </c>
      <c r="W184" s="31" t="str">
        <f>W$3&amp;$U184</f>
        <v>AE42</v>
      </c>
    </row>
    <row r="185" spans="1:26" s="26" customFormat="1" ht="30.95" customHeight="1" x14ac:dyDescent="0.3">
      <c r="A185" s="95"/>
      <c r="B185" s="96"/>
      <c r="C185" s="96"/>
      <c r="D185" s="96"/>
      <c r="E185" s="96"/>
      <c r="F185" s="96"/>
      <c r="G185" s="96"/>
      <c r="H185" s="97"/>
      <c r="I185" s="95"/>
      <c r="J185" s="96"/>
      <c r="K185" s="96"/>
      <c r="L185" s="96"/>
      <c r="M185" s="96"/>
      <c r="N185" s="96"/>
      <c r="O185" s="96"/>
      <c r="P185" s="97"/>
      <c r="R185" s="36">
        <v>2</v>
      </c>
      <c r="S185" s="29"/>
      <c r="T185" s="29">
        <f t="shared" ref="T185" si="84">T184</f>
        <v>1</v>
      </c>
    </row>
    <row r="186" spans="1:26" s="26" customFormat="1" ht="30.95" customHeight="1" x14ac:dyDescent="0.3">
      <c r="A186" s="95"/>
      <c r="B186" s="96"/>
      <c r="C186" s="96"/>
      <c r="D186" s="96"/>
      <c r="E186" s="96"/>
      <c r="F186" s="96"/>
      <c r="G186" s="96"/>
      <c r="H186" s="97"/>
      <c r="I186" s="95"/>
      <c r="J186" s="96"/>
      <c r="K186" s="96"/>
      <c r="L186" s="96"/>
      <c r="M186" s="96"/>
      <c r="N186" s="96"/>
      <c r="O186" s="96"/>
      <c r="P186" s="97"/>
      <c r="R186" s="36">
        <v>3</v>
      </c>
      <c r="S186" s="29"/>
      <c r="T186" s="29">
        <f t="shared" si="45"/>
        <v>1</v>
      </c>
    </row>
    <row r="187" spans="1:26" s="26" customFormat="1" ht="30.95" customHeight="1" x14ac:dyDescent="0.3">
      <c r="A187" s="95"/>
      <c r="B187" s="96"/>
      <c r="C187" s="96"/>
      <c r="D187" s="96"/>
      <c r="E187" s="96"/>
      <c r="F187" s="96"/>
      <c r="G187" s="96"/>
      <c r="H187" s="97"/>
      <c r="I187" s="95"/>
      <c r="J187" s="96"/>
      <c r="K187" s="96"/>
      <c r="L187" s="96"/>
      <c r="M187" s="96"/>
      <c r="N187" s="96"/>
      <c r="O187" s="96"/>
      <c r="P187" s="97"/>
      <c r="R187" s="36">
        <v>4</v>
      </c>
      <c r="S187" s="29"/>
      <c r="T187" s="29">
        <f t="shared" si="45"/>
        <v>1</v>
      </c>
    </row>
    <row r="188" spans="1:26" s="26" customFormat="1" ht="30.95" customHeight="1" x14ac:dyDescent="0.3">
      <c r="A188" s="95"/>
      <c r="B188" s="96"/>
      <c r="C188" s="96"/>
      <c r="D188" s="96"/>
      <c r="E188" s="96"/>
      <c r="F188" s="96"/>
      <c r="G188" s="96"/>
      <c r="H188" s="97"/>
      <c r="I188" s="95"/>
      <c r="J188" s="96"/>
      <c r="K188" s="96"/>
      <c r="L188" s="96"/>
      <c r="M188" s="96"/>
      <c r="N188" s="96"/>
      <c r="O188" s="96"/>
      <c r="P188" s="97"/>
      <c r="R188" s="36">
        <v>5</v>
      </c>
      <c r="S188" s="29"/>
      <c r="T188" s="29">
        <f t="shared" si="45"/>
        <v>1</v>
      </c>
    </row>
    <row r="189" spans="1:26" s="26" customFormat="1" ht="30.95" customHeight="1" x14ac:dyDescent="0.3">
      <c r="A189" s="95"/>
      <c r="B189" s="96"/>
      <c r="C189" s="96"/>
      <c r="D189" s="96"/>
      <c r="E189" s="96"/>
      <c r="F189" s="96"/>
      <c r="G189" s="96"/>
      <c r="H189" s="97"/>
      <c r="I189" s="95"/>
      <c r="J189" s="96"/>
      <c r="K189" s="96"/>
      <c r="L189" s="96"/>
      <c r="M189" s="96"/>
      <c r="N189" s="96"/>
      <c r="O189" s="96"/>
      <c r="P189" s="97"/>
      <c r="R189" s="36">
        <v>6</v>
      </c>
      <c r="S189" s="29"/>
      <c r="T189" s="29">
        <f t="shared" si="45"/>
        <v>1</v>
      </c>
    </row>
    <row r="190" spans="1:26" s="26" customFormat="1" ht="30.95" customHeight="1" x14ac:dyDescent="0.3">
      <c r="A190" s="95"/>
      <c r="B190" s="96"/>
      <c r="C190" s="96"/>
      <c r="D190" s="96"/>
      <c r="E190" s="96"/>
      <c r="F190" s="96"/>
      <c r="G190" s="96"/>
      <c r="H190" s="97"/>
      <c r="I190" s="95"/>
      <c r="J190" s="96"/>
      <c r="K190" s="96"/>
      <c r="L190" s="96"/>
      <c r="M190" s="96"/>
      <c r="N190" s="96"/>
      <c r="O190" s="96"/>
      <c r="P190" s="97"/>
      <c r="R190" s="36">
        <v>7</v>
      </c>
      <c r="S190" s="29"/>
      <c r="T190" s="29">
        <f t="shared" si="45"/>
        <v>1</v>
      </c>
    </row>
    <row r="191" spans="1:26" s="26" customFormat="1" ht="30.95" customHeight="1" x14ac:dyDescent="0.3">
      <c r="A191" s="95"/>
      <c r="B191" s="96"/>
      <c r="C191" s="96"/>
      <c r="D191" s="96"/>
      <c r="E191" s="96"/>
      <c r="F191" s="96"/>
      <c r="G191" s="96"/>
      <c r="H191" s="97"/>
      <c r="I191" s="95"/>
      <c r="J191" s="96"/>
      <c r="K191" s="96"/>
      <c r="L191" s="96"/>
      <c r="M191" s="96"/>
      <c r="N191" s="96"/>
      <c r="O191" s="96"/>
      <c r="P191" s="97"/>
      <c r="R191" s="36">
        <v>8</v>
      </c>
      <c r="S191" s="29"/>
      <c r="T191" s="29">
        <f t="shared" si="45"/>
        <v>1</v>
      </c>
    </row>
    <row r="192" spans="1:26" s="26" customFormat="1" ht="30.95" customHeight="1" x14ac:dyDescent="0.3">
      <c r="A192" s="98"/>
      <c r="B192" s="99"/>
      <c r="C192" s="99"/>
      <c r="D192" s="99"/>
      <c r="E192" s="99"/>
      <c r="F192" s="99"/>
      <c r="G192" s="99"/>
      <c r="H192" s="100"/>
      <c r="I192" s="98"/>
      <c r="J192" s="99"/>
      <c r="K192" s="99"/>
      <c r="L192" s="99"/>
      <c r="M192" s="99"/>
      <c r="N192" s="99"/>
      <c r="O192" s="99"/>
      <c r="P192" s="100"/>
      <c r="R192" s="36">
        <v>9</v>
      </c>
      <c r="S192" s="29"/>
      <c r="T192" s="29">
        <f t="shared" si="45"/>
        <v>1</v>
      </c>
    </row>
    <row r="193" spans="1:26" s="31" customFormat="1" ht="30.95" customHeight="1" x14ac:dyDescent="0.3">
      <c r="A193" s="101" t="str">
        <f t="shared" ref="A193" si="85">$A$13</f>
        <v>성    명</v>
      </c>
      <c r="B193" s="102"/>
      <c r="C193" s="103" t="str">
        <f>명세서_철거!$B$42</f>
        <v>이영부</v>
      </c>
      <c r="D193" s="104"/>
      <c r="E193" s="38" t="str">
        <f t="shared" ref="E193" si="86">$E$13</f>
        <v>연락처</v>
      </c>
      <c r="F193" s="105">
        <f>명세서_철거!$AJ$42</f>
        <v>0</v>
      </c>
      <c r="G193" s="105"/>
      <c r="H193" s="105"/>
      <c r="I193" s="106" t="str">
        <f t="shared" ref="I193" si="87">$I$13</f>
        <v>은행</v>
      </c>
      <c r="J193" s="107"/>
      <c r="K193" s="39">
        <f>명세서_철거!$AK$42</f>
        <v>0</v>
      </c>
      <c r="L193" s="40" t="str">
        <f t="shared" ref="L193" si="88">$L$13</f>
        <v>계좌번호</v>
      </c>
      <c r="M193" s="106">
        <f>명세서_철거!$AL$42</f>
        <v>0</v>
      </c>
      <c r="N193" s="108"/>
      <c r="O193" s="108"/>
      <c r="P193" s="107"/>
      <c r="R193" s="36">
        <v>10</v>
      </c>
      <c r="S193" s="36"/>
      <c r="T193" s="29">
        <f t="shared" ref="T193" si="89">T184</f>
        <v>1</v>
      </c>
      <c r="U193" s="31">
        <f>U183+2</f>
        <v>42</v>
      </c>
      <c r="V193" s="31" t="str">
        <f>V$3&amp;$U193</f>
        <v>B42</v>
      </c>
      <c r="X193" s="31" t="str">
        <f>X$3&amp;$U193</f>
        <v>AJ42</v>
      </c>
      <c r="Y193" s="31" t="str">
        <f>Y$3&amp;$U193</f>
        <v>AK42</v>
      </c>
      <c r="Z193" s="31" t="str">
        <f>Z$3&amp;$U193</f>
        <v>AL42</v>
      </c>
    </row>
    <row r="194" spans="1:26" s="26" customFormat="1" ht="30.95" customHeight="1" x14ac:dyDescent="0.3">
      <c r="A194" s="92" t="s">
        <v>38</v>
      </c>
      <c r="B194" s="93"/>
      <c r="C194" s="93"/>
      <c r="D194" s="93"/>
      <c r="E194" s="93"/>
      <c r="F194" s="93"/>
      <c r="G194" s="93"/>
      <c r="H194" s="94"/>
      <c r="I194" s="92" t="s">
        <v>39</v>
      </c>
      <c r="J194" s="93"/>
      <c r="K194" s="93"/>
      <c r="L194" s="93"/>
      <c r="M194" s="93"/>
      <c r="N194" s="93"/>
      <c r="O194" s="93"/>
      <c r="P194" s="94"/>
      <c r="R194" s="36">
        <v>1</v>
      </c>
      <c r="S194" s="29"/>
      <c r="T194" s="29">
        <f t="shared" ref="T194" si="90">T184</f>
        <v>1</v>
      </c>
      <c r="U194" s="31"/>
      <c r="W194" s="31"/>
    </row>
    <row r="195" spans="1:26" s="26" customFormat="1" ht="30.95" customHeight="1" x14ac:dyDescent="0.3">
      <c r="A195" s="95"/>
      <c r="B195" s="96"/>
      <c r="C195" s="96"/>
      <c r="D195" s="96"/>
      <c r="E195" s="96"/>
      <c r="F195" s="96"/>
      <c r="G195" s="96"/>
      <c r="H195" s="97"/>
      <c r="I195" s="95"/>
      <c r="J195" s="96"/>
      <c r="K195" s="96"/>
      <c r="L195" s="96"/>
      <c r="M195" s="96"/>
      <c r="N195" s="96"/>
      <c r="O195" s="96"/>
      <c r="P195" s="97"/>
      <c r="R195" s="36">
        <v>2</v>
      </c>
      <c r="S195" s="29"/>
      <c r="T195" s="29">
        <f t="shared" ref="T195" si="91">T194</f>
        <v>1</v>
      </c>
    </row>
    <row r="196" spans="1:26" s="26" customFormat="1" ht="30.95" customHeight="1" x14ac:dyDescent="0.3">
      <c r="A196" s="95"/>
      <c r="B196" s="96"/>
      <c r="C196" s="96"/>
      <c r="D196" s="96"/>
      <c r="E196" s="96"/>
      <c r="F196" s="96"/>
      <c r="G196" s="96"/>
      <c r="H196" s="97"/>
      <c r="I196" s="95"/>
      <c r="J196" s="96"/>
      <c r="K196" s="96"/>
      <c r="L196" s="96"/>
      <c r="M196" s="96"/>
      <c r="N196" s="96"/>
      <c r="O196" s="96"/>
      <c r="P196" s="97"/>
      <c r="R196" s="36">
        <v>3</v>
      </c>
      <c r="S196" s="29"/>
      <c r="T196" s="29">
        <f t="shared" si="72"/>
        <v>1</v>
      </c>
    </row>
    <row r="197" spans="1:26" s="26" customFormat="1" ht="30.95" customHeight="1" x14ac:dyDescent="0.3">
      <c r="A197" s="95"/>
      <c r="B197" s="96"/>
      <c r="C197" s="96"/>
      <c r="D197" s="96"/>
      <c r="E197" s="96"/>
      <c r="F197" s="96"/>
      <c r="G197" s="96"/>
      <c r="H197" s="97"/>
      <c r="I197" s="95"/>
      <c r="J197" s="96"/>
      <c r="K197" s="96"/>
      <c r="L197" s="96"/>
      <c r="M197" s="96"/>
      <c r="N197" s="96"/>
      <c r="O197" s="96"/>
      <c r="P197" s="97"/>
      <c r="R197" s="36">
        <v>4</v>
      </c>
      <c r="S197" s="29"/>
      <c r="T197" s="29">
        <f t="shared" si="72"/>
        <v>1</v>
      </c>
    </row>
    <row r="198" spans="1:26" s="26" customFormat="1" ht="30.95" customHeight="1" x14ac:dyDescent="0.3">
      <c r="A198" s="95"/>
      <c r="B198" s="96"/>
      <c r="C198" s="96"/>
      <c r="D198" s="96"/>
      <c r="E198" s="96"/>
      <c r="F198" s="96"/>
      <c r="G198" s="96"/>
      <c r="H198" s="97"/>
      <c r="I198" s="95"/>
      <c r="J198" s="96"/>
      <c r="K198" s="96"/>
      <c r="L198" s="96"/>
      <c r="M198" s="96"/>
      <c r="N198" s="96"/>
      <c r="O198" s="96"/>
      <c r="P198" s="97"/>
      <c r="R198" s="36">
        <v>5</v>
      </c>
      <c r="S198" s="29"/>
      <c r="T198" s="29">
        <f t="shared" si="72"/>
        <v>1</v>
      </c>
    </row>
    <row r="199" spans="1:26" s="26" customFormat="1" ht="30.95" customHeight="1" x14ac:dyDescent="0.3">
      <c r="A199" s="95"/>
      <c r="B199" s="96"/>
      <c r="C199" s="96"/>
      <c r="D199" s="96"/>
      <c r="E199" s="96"/>
      <c r="F199" s="96"/>
      <c r="G199" s="96"/>
      <c r="H199" s="97"/>
      <c r="I199" s="95"/>
      <c r="J199" s="96"/>
      <c r="K199" s="96"/>
      <c r="L199" s="96"/>
      <c r="M199" s="96"/>
      <c r="N199" s="96"/>
      <c r="O199" s="96"/>
      <c r="P199" s="97"/>
      <c r="R199" s="36">
        <v>6</v>
      </c>
      <c r="S199" s="29"/>
      <c r="T199" s="29">
        <f t="shared" si="72"/>
        <v>1</v>
      </c>
    </row>
    <row r="200" spans="1:26" s="26" customFormat="1" ht="30.95" customHeight="1" x14ac:dyDescent="0.3">
      <c r="A200" s="95"/>
      <c r="B200" s="96"/>
      <c r="C200" s="96"/>
      <c r="D200" s="96"/>
      <c r="E200" s="96"/>
      <c r="F200" s="96"/>
      <c r="G200" s="96"/>
      <c r="H200" s="97"/>
      <c r="I200" s="95"/>
      <c r="J200" s="96"/>
      <c r="K200" s="96"/>
      <c r="L200" s="96"/>
      <c r="M200" s="96"/>
      <c r="N200" s="96"/>
      <c r="O200" s="96"/>
      <c r="P200" s="97"/>
      <c r="R200" s="36">
        <v>7</v>
      </c>
      <c r="S200" s="29"/>
      <c r="T200" s="29">
        <f t="shared" si="72"/>
        <v>1</v>
      </c>
    </row>
    <row r="201" spans="1:26" s="26" customFormat="1" ht="30.95" customHeight="1" x14ac:dyDescent="0.3">
      <c r="A201" s="95"/>
      <c r="B201" s="96"/>
      <c r="C201" s="96"/>
      <c r="D201" s="96"/>
      <c r="E201" s="96"/>
      <c r="F201" s="96"/>
      <c r="G201" s="96"/>
      <c r="H201" s="97"/>
      <c r="I201" s="95"/>
      <c r="J201" s="96"/>
      <c r="K201" s="96"/>
      <c r="L201" s="96"/>
      <c r="M201" s="96"/>
      <c r="N201" s="96"/>
      <c r="O201" s="96"/>
      <c r="P201" s="97"/>
      <c r="R201" s="36">
        <v>8</v>
      </c>
      <c r="S201" s="29"/>
      <c r="T201" s="29">
        <f t="shared" si="72"/>
        <v>1</v>
      </c>
    </row>
    <row r="202" spans="1:26" s="26" customFormat="1" ht="30.95" customHeight="1" x14ac:dyDescent="0.3">
      <c r="A202" s="98"/>
      <c r="B202" s="99"/>
      <c r="C202" s="99"/>
      <c r="D202" s="99"/>
      <c r="E202" s="99"/>
      <c r="F202" s="99"/>
      <c r="G202" s="99"/>
      <c r="H202" s="100"/>
      <c r="I202" s="98"/>
      <c r="J202" s="99"/>
      <c r="K202" s="99"/>
      <c r="L202" s="99"/>
      <c r="M202" s="99"/>
      <c r="N202" s="99"/>
      <c r="O202" s="99"/>
      <c r="P202" s="100"/>
      <c r="R202" s="36">
        <v>9</v>
      </c>
      <c r="S202" s="29"/>
      <c r="T202" s="29">
        <f t="shared" si="72"/>
        <v>1</v>
      </c>
    </row>
    <row r="203" spans="1:26" s="31" customFormat="1" ht="30.95" customHeight="1" x14ac:dyDescent="0.3">
      <c r="A203" s="101" t="str">
        <f t="shared" ref="A203" si="92">$A$13</f>
        <v>성    명</v>
      </c>
      <c r="B203" s="102"/>
      <c r="C203" s="103" t="str">
        <f>명세서_철거!$B$44</f>
        <v>이종진</v>
      </c>
      <c r="D203" s="104"/>
      <c r="E203" s="38" t="str">
        <f t="shared" ref="E203" si="93">$E$13</f>
        <v>연락처</v>
      </c>
      <c r="F203" s="105">
        <f>명세서_철거!$AJ$44</f>
        <v>0</v>
      </c>
      <c r="G203" s="105"/>
      <c r="H203" s="105"/>
      <c r="I203" s="106" t="str">
        <f t="shared" ref="I203" si="94">$I$13</f>
        <v>은행</v>
      </c>
      <c r="J203" s="107"/>
      <c r="K203" s="39">
        <f>명세서_철거!$AK$44</f>
        <v>0</v>
      </c>
      <c r="L203" s="40" t="str">
        <f t="shared" ref="L203" si="95">$L$13</f>
        <v>계좌번호</v>
      </c>
      <c r="M203" s="106">
        <f>명세서_철거!$AL$44</f>
        <v>0</v>
      </c>
      <c r="N203" s="108"/>
      <c r="O203" s="108"/>
      <c r="P203" s="107"/>
      <c r="R203" s="36">
        <v>10</v>
      </c>
      <c r="S203" s="36"/>
      <c r="T203" s="29">
        <f t="shared" ref="T203" si="96">T184</f>
        <v>1</v>
      </c>
      <c r="U203" s="31">
        <f>U193+2</f>
        <v>44</v>
      </c>
      <c r="V203" s="31" t="str">
        <f>V$3&amp;$U203</f>
        <v>B44</v>
      </c>
      <c r="X203" s="31" t="str">
        <f>X$3&amp;$U203</f>
        <v>AJ44</v>
      </c>
      <c r="Y203" s="31" t="str">
        <f>Y$3&amp;$U203</f>
        <v>AK44</v>
      </c>
      <c r="Z203" s="31" t="str">
        <f>Z$3&amp;$U203</f>
        <v>AL44</v>
      </c>
    </row>
  </sheetData>
  <autoFilter ref="R1:T203"/>
  <mergeCells count="141">
    <mergeCell ref="B1:O1"/>
    <mergeCell ref="A4:H12"/>
    <mergeCell ref="I4:P12"/>
    <mergeCell ref="A13:B13"/>
    <mergeCell ref="C13:D13"/>
    <mergeCell ref="F13:H13"/>
    <mergeCell ref="I13:J13"/>
    <mergeCell ref="M13:P13"/>
    <mergeCell ref="A34:H42"/>
    <mergeCell ref="I34:P42"/>
    <mergeCell ref="A24:H32"/>
    <mergeCell ref="I24:P32"/>
    <mergeCell ref="A14:H22"/>
    <mergeCell ref="I14:P22"/>
    <mergeCell ref="A23:B23"/>
    <mergeCell ref="C23:D23"/>
    <mergeCell ref="F23:H23"/>
    <mergeCell ref="I23:J23"/>
    <mergeCell ref="M23:P23"/>
    <mergeCell ref="A43:B43"/>
    <mergeCell ref="C43:D43"/>
    <mergeCell ref="F43:H43"/>
    <mergeCell ref="I43:J43"/>
    <mergeCell ref="M43:P43"/>
    <mergeCell ref="A33:B33"/>
    <mergeCell ref="C33:D33"/>
    <mergeCell ref="F33:H33"/>
    <mergeCell ref="I33:J33"/>
    <mergeCell ref="M33:P33"/>
    <mergeCell ref="A54:H62"/>
    <mergeCell ref="I54:P62"/>
    <mergeCell ref="A63:B63"/>
    <mergeCell ref="C63:D63"/>
    <mergeCell ref="F63:H63"/>
    <mergeCell ref="I63:J63"/>
    <mergeCell ref="M63:P63"/>
    <mergeCell ref="A44:H52"/>
    <mergeCell ref="I44:P52"/>
    <mergeCell ref="A53:B53"/>
    <mergeCell ref="C53:D53"/>
    <mergeCell ref="F53:H53"/>
    <mergeCell ref="I53:J53"/>
    <mergeCell ref="M53:P53"/>
    <mergeCell ref="A74:H82"/>
    <mergeCell ref="I74:P82"/>
    <mergeCell ref="A83:B83"/>
    <mergeCell ref="C83:D83"/>
    <mergeCell ref="F83:H83"/>
    <mergeCell ref="I83:J83"/>
    <mergeCell ref="M83:P83"/>
    <mergeCell ref="A64:H72"/>
    <mergeCell ref="I64:P72"/>
    <mergeCell ref="A73:B73"/>
    <mergeCell ref="C73:D73"/>
    <mergeCell ref="F73:H73"/>
    <mergeCell ref="I73:J73"/>
    <mergeCell ref="M73:P73"/>
    <mergeCell ref="A94:H102"/>
    <mergeCell ref="I94:P102"/>
    <mergeCell ref="A103:B103"/>
    <mergeCell ref="C103:D103"/>
    <mergeCell ref="F103:H103"/>
    <mergeCell ref="I103:J103"/>
    <mergeCell ref="M103:P103"/>
    <mergeCell ref="A84:H92"/>
    <mergeCell ref="I84:P92"/>
    <mergeCell ref="A93:B93"/>
    <mergeCell ref="C93:D93"/>
    <mergeCell ref="F93:H93"/>
    <mergeCell ref="I93:J93"/>
    <mergeCell ref="M93:P93"/>
    <mergeCell ref="A114:H122"/>
    <mergeCell ref="I114:P122"/>
    <mergeCell ref="A123:B123"/>
    <mergeCell ref="C123:D123"/>
    <mergeCell ref="F123:H123"/>
    <mergeCell ref="I123:J123"/>
    <mergeCell ref="M123:P123"/>
    <mergeCell ref="A104:H112"/>
    <mergeCell ref="I104:P112"/>
    <mergeCell ref="A113:B113"/>
    <mergeCell ref="C113:D113"/>
    <mergeCell ref="F113:H113"/>
    <mergeCell ref="I113:J113"/>
    <mergeCell ref="M113:P113"/>
    <mergeCell ref="A134:H142"/>
    <mergeCell ref="I134:P142"/>
    <mergeCell ref="A143:B143"/>
    <mergeCell ref="C143:D143"/>
    <mergeCell ref="F143:H143"/>
    <mergeCell ref="I143:J143"/>
    <mergeCell ref="M143:P143"/>
    <mergeCell ref="A124:H132"/>
    <mergeCell ref="I124:P132"/>
    <mergeCell ref="A133:B133"/>
    <mergeCell ref="C133:D133"/>
    <mergeCell ref="F133:H133"/>
    <mergeCell ref="I133:J133"/>
    <mergeCell ref="M133:P133"/>
    <mergeCell ref="A154:H162"/>
    <mergeCell ref="I154:P162"/>
    <mergeCell ref="A163:B163"/>
    <mergeCell ref="C163:D163"/>
    <mergeCell ref="F163:H163"/>
    <mergeCell ref="I163:J163"/>
    <mergeCell ref="M163:P163"/>
    <mergeCell ref="A144:H152"/>
    <mergeCell ref="I144:P152"/>
    <mergeCell ref="A153:B153"/>
    <mergeCell ref="C153:D153"/>
    <mergeCell ref="F153:H153"/>
    <mergeCell ref="I153:J153"/>
    <mergeCell ref="M153:P153"/>
    <mergeCell ref="A174:H182"/>
    <mergeCell ref="I174:P182"/>
    <mergeCell ref="A183:B183"/>
    <mergeCell ref="C183:D183"/>
    <mergeCell ref="F183:H183"/>
    <mergeCell ref="I183:J183"/>
    <mergeCell ref="M183:P183"/>
    <mergeCell ref="A164:H172"/>
    <mergeCell ref="I164:P172"/>
    <mergeCell ref="A173:B173"/>
    <mergeCell ref="C173:D173"/>
    <mergeCell ref="F173:H173"/>
    <mergeCell ref="I173:J173"/>
    <mergeCell ref="M173:P173"/>
    <mergeCell ref="A194:H202"/>
    <mergeCell ref="I194:P202"/>
    <mergeCell ref="A203:B203"/>
    <mergeCell ref="C203:D203"/>
    <mergeCell ref="F203:H203"/>
    <mergeCell ref="I203:J203"/>
    <mergeCell ref="M203:P203"/>
    <mergeCell ref="A184:H192"/>
    <mergeCell ref="I184:P192"/>
    <mergeCell ref="A193:B193"/>
    <mergeCell ref="C193:D193"/>
    <mergeCell ref="F193:H193"/>
    <mergeCell ref="I193:J193"/>
    <mergeCell ref="M193:P193"/>
  </mergeCells>
  <phoneticPr fontId="4" type="noConversion"/>
  <printOptions horizontalCentered="1"/>
  <pageMargins left="0.39370078740157483" right="0.39370078740157483" top="0.78740157480314965" bottom="0.59055118110236227" header="0" footer="0"/>
  <pageSetup paperSize="9" scale="7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이름이 지정된 범위</vt:lpstr>
      </vt:variant>
      <vt:variant>
        <vt:i4>4</vt:i4>
      </vt:variant>
    </vt:vector>
  </HeadingPairs>
  <TitlesOfParts>
    <vt:vector size="6" baseType="lpstr">
      <vt:lpstr>명세서_철거</vt:lpstr>
      <vt:lpstr>증빙_철거</vt:lpstr>
      <vt:lpstr>명세서_철거!Print_Area</vt:lpstr>
      <vt:lpstr>증빙_철거!Print_Area</vt:lpstr>
      <vt:lpstr>명세서_철거!Print_Titles</vt:lpstr>
      <vt:lpstr>증빙_철거!Print_Titles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dc:creator>
  <cp:lastModifiedBy>User</cp:lastModifiedBy>
  <cp:lastPrinted>2025-06-26T02:40:18Z</cp:lastPrinted>
  <dcterms:created xsi:type="dcterms:W3CDTF">2025-06-26T02:32:45Z</dcterms:created>
  <dcterms:modified xsi:type="dcterms:W3CDTF">2026-07-14T02:02:01Z</dcterms:modified>
</cp:coreProperties>
</file>